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otap\Downloads\"/>
    </mc:Choice>
  </mc:AlternateContent>
  <xr:revisionPtr revIDLastSave="0" documentId="13_ncr:1_{39FFE47B-2E56-4E30-9469-85CC92DB69CE}" xr6:coauthVersionLast="47" xr6:coauthVersionMax="47" xr10:uidLastSave="{00000000-0000-0000-0000-000000000000}"/>
  <bookViews>
    <workbookView xWindow="-110" yWindow="-110" windowWidth="19420" windowHeight="11500" xr2:uid="{2EC9DDA9-1C85-4437-B313-C2EA99D6312D}"/>
  </bookViews>
  <sheets>
    <sheet name="KPI" sheetId="3" r:id="rId1"/>
    <sheet name="Fund Data" sheetId="2" r:id="rId2"/>
    <sheet name="Dashboard" sheetId="4" r:id="rId3"/>
  </sheets>
  <externalReferences>
    <externalReference r:id="rId4"/>
  </externalReferences>
  <definedNames>
    <definedName name="ExternalData_1" localSheetId="1" hidden="1">'Fund Data'!$A$1:$O$41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9EA37-DFDE-4E4C-B58D-6A93E8E8FC67}" keepAlive="1" name="Query - 01_fund_master" description="Connection to the '01_fund_master' query in the workbook." type="5" refreshedVersion="8" background="1" saveData="1">
    <dbPr connection="Provider=Microsoft.Mashup.OleDb.1;Data Source=$Workbook$;Location=01_fund_master;Extended Properties=&quot;&quot;" command="SELECT * FROM [01_fund_master]"/>
  </connection>
</connections>
</file>

<file path=xl/sharedStrings.xml><?xml version="1.0" encoding="utf-8"?>
<sst xmlns="http://schemas.openxmlformats.org/spreadsheetml/2006/main" count="421" uniqueCount="149">
  <si>
    <t>amfi_code</t>
  </si>
  <si>
    <t>fund_house</t>
  </si>
  <si>
    <t>scheme_name</t>
  </si>
  <si>
    <t>category</t>
  </si>
  <si>
    <t>sub_category</t>
  </si>
  <si>
    <t>plan</t>
  </si>
  <si>
    <t>launch_date</t>
  </si>
  <si>
    <t>benchmark</t>
  </si>
  <si>
    <t>expense_ratio_pct</t>
  </si>
  <si>
    <t>exit_load_pct</t>
  </si>
  <si>
    <t>min_sip_amount</t>
  </si>
  <si>
    <t>min_lumpsum_amount</t>
  </si>
  <si>
    <t>fund_manager</t>
  </si>
  <si>
    <t>risk_category</t>
  </si>
  <si>
    <t>sebi_category_code</t>
  </si>
  <si>
    <t>SBI Mutual Fund</t>
  </si>
  <si>
    <t>SBI Bluechip Fund - Regular Plan - Growth</t>
  </si>
  <si>
    <t>Equity</t>
  </si>
  <si>
    <t>Large Cap</t>
  </si>
  <si>
    <t>Regular</t>
  </si>
  <si>
    <t>NIFTY 100 TRI</t>
  </si>
  <si>
    <t>Sohini Andani</t>
  </si>
  <si>
    <t>Moderate</t>
  </si>
  <si>
    <t>EC01</t>
  </si>
  <si>
    <t>SBI Bluechip Fund - Direct Plan - Growth</t>
  </si>
  <si>
    <t>Direct</t>
  </si>
  <si>
    <t>SBI Small Cap Fund - Regular Plan - Growth</t>
  </si>
  <si>
    <t>Small Cap</t>
  </si>
  <si>
    <t>BSE 250 SmallCap TRI</t>
  </si>
  <si>
    <t>R. Srinivasan</t>
  </si>
  <si>
    <t>Very High</t>
  </si>
  <si>
    <t>EC03</t>
  </si>
  <si>
    <t>SBI Small Cap Fund - Direct Plan - Growth</t>
  </si>
  <si>
    <t>SBI Magnum Gilt Fund - Regular Plan - Growth</t>
  </si>
  <si>
    <t>Debt</t>
  </si>
  <si>
    <t>Gilt</t>
  </si>
  <si>
    <t>CRISIL Dynamic Gilt Index</t>
  </si>
  <si>
    <t>Dinesh Ahuja</t>
  </si>
  <si>
    <t>Low</t>
  </si>
  <si>
    <t>DC02</t>
  </si>
  <si>
    <t>HDFC Mutual Fund</t>
  </si>
  <si>
    <t>HDFC Top 100 Fund - Regular Plan - Growth</t>
  </si>
  <si>
    <t>Rahul Baijal</t>
  </si>
  <si>
    <t>HDFC Top 100 Fund - Direct Plan - Growth</t>
  </si>
  <si>
    <t>HDFC Mid-Cap Opportunities Fund - Regular - Growth</t>
  </si>
  <si>
    <t>Mid Cap</t>
  </si>
  <si>
    <t>NIFTY Midcap 150 TRI</t>
  </si>
  <si>
    <t>Chirag Setalvad</t>
  </si>
  <si>
    <t>High</t>
  </si>
  <si>
    <t>EC02</t>
  </si>
  <si>
    <t>HDFC Mid-Cap Opportunities Fund - Direct - Growth</t>
  </si>
  <si>
    <t>HDFC Short Term Debt Fund - Regular - Growth</t>
  </si>
  <si>
    <t>Short Duration</t>
  </si>
  <si>
    <t>CRISIL Short Term Bond Index</t>
  </si>
  <si>
    <t>Anil Bamboli</t>
  </si>
  <si>
    <t>ICICI Prudential MF</t>
  </si>
  <si>
    <t>ICICI Pru Bluechip Fund - Regular - Growth</t>
  </si>
  <si>
    <t>Anish Tawakley</t>
  </si>
  <si>
    <t>ICICI Pru Bluechip Fund - Direct - Growth</t>
  </si>
  <si>
    <t>ICICI Pru Midcap Fund - Regular - Growth</t>
  </si>
  <si>
    <t>Sankaran Naren</t>
  </si>
  <si>
    <t>ICICI Pru Value Discovery Fund - Regular - Growth</t>
  </si>
  <si>
    <t>Value</t>
  </si>
  <si>
    <t>NIFTY 500 TRI</t>
  </si>
  <si>
    <t>Moderately High</t>
  </si>
  <si>
    <t>EC06</t>
  </si>
  <si>
    <t>ICICI Pru Liquid Fund - Regular - Growth</t>
  </si>
  <si>
    <t>Liquid</t>
  </si>
  <si>
    <t>CRISIL Liquid Fund AI Index</t>
  </si>
  <si>
    <t>Rahul Goswami</t>
  </si>
  <si>
    <t>DC01</t>
  </si>
  <si>
    <t>Nippon India MF</t>
  </si>
  <si>
    <t>Nippon India Large Cap Fund - Regular - Growth</t>
  </si>
  <si>
    <t>Sailesh Raj Bhan</t>
  </si>
  <si>
    <t>Nippon India Large Cap Fund - Direct - Growth</t>
  </si>
  <si>
    <t>Nippon India Small Cap Fund - Regular - Growth</t>
  </si>
  <si>
    <t>Samir Rachh</t>
  </si>
  <si>
    <t>Nippon India ETF Nifty 50 BeES</t>
  </si>
  <si>
    <t>Index/ETF</t>
  </si>
  <si>
    <t>NIFTY 50 TRI</t>
  </si>
  <si>
    <t>Vishal Jain</t>
  </si>
  <si>
    <t>EI01</t>
  </si>
  <si>
    <t>Nippon India Gilt Securities Fund - Regular - Growth</t>
  </si>
  <si>
    <t>Vivek Sharma</t>
  </si>
  <si>
    <t>Kotak Mahindra MF</t>
  </si>
  <si>
    <t>Kotak Bluechip Fund - Regular - Growth</t>
  </si>
  <si>
    <t>Harsha Upadhyaya</t>
  </si>
  <si>
    <t>Kotak Emerging Equity Fund - Regular - Growth</t>
  </si>
  <si>
    <t>Pankaj Tibrewal</t>
  </si>
  <si>
    <t>Kotak Flexicap Fund - Regular - Growth</t>
  </si>
  <si>
    <t>Flexi Cap</t>
  </si>
  <si>
    <t>EC04</t>
  </si>
  <si>
    <t>Kotak Liquid Fund - Regular - Growth</t>
  </si>
  <si>
    <t>Deepak Agrawal</t>
  </si>
  <si>
    <t>Axis Mutual Fund</t>
  </si>
  <si>
    <t>Axis Bluechip Fund - Regular - Growth</t>
  </si>
  <si>
    <t>Shreyash Devalkar</t>
  </si>
  <si>
    <t>Axis Bluechip Fund - Direct - Growth</t>
  </si>
  <si>
    <t>Axis Midcap Fund - Regular - Growth</t>
  </si>
  <si>
    <t>NIFTY Midcap 50 TRI</t>
  </si>
  <si>
    <t>Jinesh Gopani</t>
  </si>
  <si>
    <t>Axis Small Cap Fund - Regular - Growth</t>
  </si>
  <si>
    <t>Anupam Tiwari</t>
  </si>
  <si>
    <t>Aditya Birla Sun Life MF</t>
  </si>
  <si>
    <t>ABSL Frontline Equity Fund - Regular - Growth</t>
  </si>
  <si>
    <t>Mahesh Patil</t>
  </si>
  <si>
    <t>ABSL Small Cap Fund - Regular - Growth</t>
  </si>
  <si>
    <t>Mircea Ciobanu</t>
  </si>
  <si>
    <t>ABSL Liquid Fund - Regular - Growth</t>
  </si>
  <si>
    <t>Maneesh Dangi</t>
  </si>
  <si>
    <t>UTI Mutual Fund</t>
  </si>
  <si>
    <t>UTI Nifty 50 Index Fund - Regular - Growth</t>
  </si>
  <si>
    <t>Index</t>
  </si>
  <si>
    <t>Sharwan Kumar Goyal</t>
  </si>
  <si>
    <t>UTI Mid Cap Fund - Regular - Growth</t>
  </si>
  <si>
    <t>V Srivatsa</t>
  </si>
  <si>
    <t>UTI Flexi Cap Fund - Regular - Growth</t>
  </si>
  <si>
    <t>Ajay Tyagi</t>
  </si>
  <si>
    <t>Mirae Asset MF</t>
  </si>
  <si>
    <t>Mirae Asset Large Cap Fund - Regular - Growth</t>
  </si>
  <si>
    <t>Gaurav Misra</t>
  </si>
  <si>
    <t>Mirae Asset Emerging Bluechip Fund - Regular - Growth</t>
  </si>
  <si>
    <t>Large &amp; Mid Cap</t>
  </si>
  <si>
    <t>NIFTY Large Midcap 250 TRI</t>
  </si>
  <si>
    <t>Neelesh Surana</t>
  </si>
  <si>
    <t>Mirae Asset Tax Saver Fund - Regular - Growth</t>
  </si>
  <si>
    <t>ELSS</t>
  </si>
  <si>
    <t>EC05</t>
  </si>
  <si>
    <t>DSP Mutual Fund</t>
  </si>
  <si>
    <t>DSP Top 100 Equity Fund - Regular - Growth</t>
  </si>
  <si>
    <t>Apoorva Shah</t>
  </si>
  <si>
    <t>DSP Midcap Fund - Regular - Growth</t>
  </si>
  <si>
    <t>Vinit Sambre</t>
  </si>
  <si>
    <t>DSP Small Cap Fund - Regular - Growth</t>
  </si>
  <si>
    <t>MUTUAL FUNDS KPI</t>
  </si>
  <si>
    <t>TOTAL SCHEMES</t>
  </si>
  <si>
    <t>AVERAGE EXPENSE RATIO</t>
  </si>
  <si>
    <t>AVERAGE EXIST LOAD</t>
  </si>
  <si>
    <t>FUND HOUSES</t>
  </si>
  <si>
    <t>Row Labels</t>
  </si>
  <si>
    <t>Grand Total</t>
  </si>
  <si>
    <t>Sum of amfi_code</t>
  </si>
  <si>
    <t>Average of expense_ratio_pct</t>
  </si>
  <si>
    <t>Average of min_sip_amount</t>
  </si>
  <si>
    <t>SCHEMES BY FUND HOUSE</t>
  </si>
  <si>
    <t>SCHEMES BY CATEGORY</t>
  </si>
  <si>
    <t>RISK CATEGORY  DISTRIBUTION</t>
  </si>
  <si>
    <t>AVERAGE MINIMUM SIP BY CATEGORY</t>
  </si>
  <si>
    <t>AVERAGE EXPENSE RATIO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</si>
</sst>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[Mutual_Funds_Business_Performance_Dashboard.xlsx]KPI!PivotTable4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RISK</a:t>
            </a:r>
            <a:r>
              <a:rPr lang="en-IN" baseline="0">
                <a:solidFill>
                  <a:schemeClr val="tx1"/>
                </a:solidFill>
              </a:rPr>
              <a:t> CATEGORY DISTRIBUTION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KPI!$B$34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98-4082-9251-4BCE1E3A6E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98-4082-9251-4BCE1E3A6EA1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98-4082-9251-4BCE1E3A6EA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98-4082-9251-4BCE1E3A6EA1}"/>
              </c:ext>
            </c:extLst>
          </c:dPt>
          <c:dPt>
            <c:idx val="4"/>
            <c:bubble3D val="0"/>
            <c:spPr>
              <a:solidFill>
                <a:srgbClr val="FF00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98-4082-9251-4BCE1E3A6EA1}"/>
              </c:ext>
            </c:extLst>
          </c:dPt>
          <c:cat>
            <c:strRef>
              <c:f>KPI!$A$35:$A$40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  <c:pt idx="3">
                  <c:v>Moderately High</c:v>
                </c:pt>
                <c:pt idx="4">
                  <c:v>Very High</c:v>
                </c:pt>
              </c:strCache>
            </c:strRef>
          </c:cat>
          <c:val>
            <c:numRef>
              <c:f>KPI!$B$35:$B$40</c:f>
              <c:numCache>
                <c:formatCode>General</c:formatCode>
                <c:ptCount val="5"/>
                <c:pt idx="0">
                  <c:v>986750</c:v>
                </c:pt>
                <c:pt idx="1">
                  <c:v>680340</c:v>
                </c:pt>
                <c:pt idx="2">
                  <c:v>1922529</c:v>
                </c:pt>
                <c:pt idx="3">
                  <c:v>492804</c:v>
                </c:pt>
                <c:pt idx="4">
                  <c:v>727457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98-4082-9251-4BCE1E3A6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bg1"/>
      </a:solidFill>
      <a:round/>
    </a:ln>
    <a:effectLst>
      <a:glow rad="63500">
        <a:schemeClr val="accent1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[Mutual_Funds_Business_Performance_Dashboard.xlsx]KPI!PivotTable6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Average Minimum SIP by Category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solidFill>
          <a:schemeClr val="tx2">
            <a:lumMod val="25000"/>
            <a:lumOff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KPI!$A$55:$A$57</c:f>
              <c:strCache>
                <c:ptCount val="2"/>
                <c:pt idx="0">
                  <c:v>Debt</c:v>
                </c:pt>
                <c:pt idx="1">
                  <c:v>Equity</c:v>
                </c:pt>
              </c:strCache>
            </c:strRef>
          </c:cat>
          <c:val>
            <c:numRef>
              <c:f>KPI!$B$55:$B$57</c:f>
              <c:numCache>
                <c:formatCode>General</c:formatCode>
                <c:ptCount val="2"/>
                <c:pt idx="0">
                  <c:v>500</c:v>
                </c:pt>
                <c:pt idx="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1-48ED-B939-BAC2BC1B3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03760"/>
        <c:axId val="1528238288"/>
      </c:barChart>
      <c:catAx>
        <c:axId val="21130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238288"/>
        <c:crosses val="autoZero"/>
        <c:auto val="1"/>
        <c:lblAlgn val="ctr"/>
        <c:lblOffset val="100"/>
        <c:noMultiLvlLbl val="0"/>
      </c:catAx>
      <c:valAx>
        <c:axId val="152823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glow rad="127000">
            <a:schemeClr val="tx1"/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[Mutual_Funds_Business_Performance_Dashboard.xlsx]KPI!PivotTable5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Expense Ratio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KPI!$A$47:$A$49</c:f>
              <c:strCache>
                <c:ptCount val="2"/>
                <c:pt idx="0">
                  <c:v>Debt</c:v>
                </c:pt>
                <c:pt idx="1">
                  <c:v>Equity</c:v>
                </c:pt>
              </c:strCache>
            </c:strRef>
          </c:cat>
          <c:val>
            <c:numRef>
              <c:f>KPI!$B$47:$B$49</c:f>
              <c:numCache>
                <c:formatCode>General</c:formatCode>
                <c:ptCount val="2"/>
                <c:pt idx="0">
                  <c:v>0.66833333333333333</c:v>
                </c:pt>
                <c:pt idx="1">
                  <c:v>1.3373529411764709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0-4625-83E8-E9707FA2A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7946672"/>
        <c:axId val="1528252688"/>
      </c:barChart>
      <c:catAx>
        <c:axId val="32794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252688"/>
        <c:crosses val="autoZero"/>
        <c:auto val="1"/>
        <c:lblAlgn val="ctr"/>
        <c:lblOffset val="100"/>
        <c:noMultiLvlLbl val="0"/>
      </c:catAx>
      <c:valAx>
        <c:axId val="152825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4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[Mutual_Funds_Business_Performance_Dashboard.xlsx]KPI!PivotTable1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SCHEMES</a:t>
            </a:r>
            <a:r>
              <a:rPr lang="en-IN" baseline="0">
                <a:solidFill>
                  <a:schemeClr val="tx1"/>
                </a:solidFill>
              </a:rPr>
              <a:t> BY FUND HOUSE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solidFill>
          <a:schemeClr val="tx2">
            <a:lumMod val="25000"/>
            <a:lumOff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KPI!$A$12:$A$22</c:f>
              <c:strCache>
                <c:ptCount val="10"/>
                <c:pt idx="0">
                  <c:v>Aditya Birla Sun Life MF</c:v>
                </c:pt>
                <c:pt idx="1">
                  <c:v>Axis Mutual Fund</c:v>
                </c:pt>
                <c:pt idx="2">
                  <c:v>DSP Mutual Fund</c:v>
                </c:pt>
                <c:pt idx="3">
                  <c:v>HDFC Mutual Fund</c:v>
                </c:pt>
                <c:pt idx="4">
                  <c:v>ICICI Prudential MF</c:v>
                </c:pt>
                <c:pt idx="5">
                  <c:v>Kotak Mahindra MF</c:v>
                </c:pt>
                <c:pt idx="6">
                  <c:v>Mirae Asset MF</c:v>
                </c:pt>
                <c:pt idx="7">
                  <c:v>Nippon India MF</c:v>
                </c:pt>
                <c:pt idx="8">
                  <c:v>SBI Mutual Fund</c:v>
                </c:pt>
                <c:pt idx="9">
                  <c:v>UTI Mutual Fund</c:v>
                </c:pt>
              </c:strCache>
            </c:strRef>
          </c:cat>
          <c:val>
            <c:numRef>
              <c:f>KPI!$B$12:$B$22</c:f>
              <c:numCache>
                <c:formatCode>General</c:formatCode>
                <c:ptCount val="10"/>
                <c:pt idx="0">
                  <c:v>303621</c:v>
                </c:pt>
                <c:pt idx="1">
                  <c:v>476374</c:v>
                </c:pt>
                <c:pt idx="2">
                  <c:v>447969</c:v>
                </c:pt>
                <c:pt idx="3">
                  <c:v>551069</c:v>
                </c:pt>
                <c:pt idx="4">
                  <c:v>602525</c:v>
                </c:pt>
                <c:pt idx="5">
                  <c:v>483370</c:v>
                </c:pt>
                <c:pt idx="6">
                  <c:v>445704</c:v>
                </c:pt>
                <c:pt idx="7">
                  <c:v>593170</c:v>
                </c:pt>
                <c:pt idx="8">
                  <c:v>597420</c:v>
                </c:pt>
                <c:pt idx="9">
                  <c:v>308658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5-4AB7-ACE6-2A072A9CB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7916048"/>
        <c:axId val="1528221008"/>
      </c:barChart>
      <c:catAx>
        <c:axId val="32791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221008"/>
        <c:crosses val="autoZero"/>
        <c:auto val="1"/>
        <c:lblAlgn val="ctr"/>
        <c:lblOffset val="100"/>
        <c:noMultiLvlLbl val="0"/>
      </c:catAx>
      <c:valAx>
        <c:axId val="15282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1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[Mutual_Funds_Business_Performance_Dashboard.xlsx]KPI!PivotTable3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SCHEMES</a:t>
            </a:r>
            <a:r>
              <a:rPr lang="en-US" baseline="0">
                <a:solidFill>
                  <a:schemeClr val="tx1"/>
                </a:solidFill>
              </a:rPr>
              <a:t> BY CATEGORY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KPI!$A$27:$A$29</c:f>
              <c:strCache>
                <c:ptCount val="2"/>
                <c:pt idx="0">
                  <c:v>Debt</c:v>
                </c:pt>
                <c:pt idx="1">
                  <c:v>Equity</c:v>
                </c:pt>
              </c:strCache>
            </c:strRef>
          </c:cat>
          <c:val>
            <c:numRef>
              <c:f>KPI!$B$27:$B$29</c:f>
              <c:numCache>
                <c:formatCode>General</c:formatCode>
                <c:ptCount val="2"/>
                <c:pt idx="0">
                  <c:v>680340</c:v>
                </c:pt>
                <c:pt idx="1">
                  <c:v>4129540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B-4390-B5B9-9C6388C28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937856"/>
        <c:axId val="1528195568"/>
      </c:barChart>
      <c:catAx>
        <c:axId val="3279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195568"/>
        <c:crosses val="autoZero"/>
        <c:auto val="1"/>
        <c:lblAlgn val="ctr"/>
        <c:lblOffset val="100"/>
        <c:noMultiLvlLbl val="0"/>
      </c:catAx>
      <c:valAx>
        <c:axId val="1528195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774700</xdr:colOff>
      <xdr:row>2</xdr:row>
      <xdr:rowOff>152400</xdr:rowOff>
    </xdr:from>
    <xdr:to>
      <xdr:col>2</xdr:col>
      <xdr:colOff>590550</xdr:colOff>
      <xdr:row>9</xdr:row>
      <xdr:rowOff>44450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3143149-50A0-21B5-4E60-A24EAF9B4C5B}"/>
            </a:ext>
          </a:extLst>
        </xdr:cNvPr>
        <xdr:cNvSpPr/>
      </xdr:nvSpPr>
      <xdr:spPr>
        <a:xfrm>
          <a:off x="774700" y="520700"/>
          <a:ext cx="2279650" cy="118110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457201</xdr:colOff>
      <xdr:row>2</xdr:row>
      <xdr:rowOff>171450</xdr:rowOff>
    </xdr:from>
    <xdr:ext cx="9398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921550-66DB-FB83-A7EE-2AB5D7BC91A0}"/>
            </a:ext>
          </a:extLst>
        </xdr:cNvPr>
        <xdr:cNvSpPr txBox="1"/>
      </xdr:nvSpPr>
      <xdr:spPr>
        <a:xfrm flipH="1">
          <a:off x="457201" y="539750"/>
          <a:ext cx="9398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 b="1"/>
        </a:p>
      </xdr:txBody>
    </xdr:sp>
    <xdr:clientData/>
  </xdr:oneCellAnchor>
  <xdr:oneCellAnchor>
    <xdr:from>
      <xdr:col>8</xdr:col>
      <xdr:colOff>596900</xdr:colOff>
      <xdr:row>6</xdr:row>
      <xdr:rowOff>107950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2D1295-45E3-68F4-F1F7-BB90D1CEA963}"/>
            </a:ext>
          </a:extLst>
        </xdr:cNvPr>
        <xdr:cNvSpPr txBox="1"/>
      </xdr:nvSpPr>
      <xdr:spPr>
        <a:xfrm>
          <a:off x="6718300" y="121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527050</xdr:colOff>
      <xdr:row>2</xdr:row>
      <xdr:rowOff>146050</xdr:rowOff>
    </xdr:from>
    <xdr:ext cx="1346200" cy="264560"/>
    <xdr:sp macro="" textlink="Dashboard!$A$3">
      <xdr:nvSpPr>
        <xdr:cNvPr id="11" name="TextBox 10">
          <a:extLst>
            <a:ext uri="{FF2B5EF4-FFF2-40B4-BE49-F238E27FC236}">
              <a16:creationId xmlns:a16="http://schemas.microsoft.com/office/drawing/2014/main" id="{08CB74C8-96F7-498E-A9A4-D15B7C1D6213}"/>
            </a:ext>
          </a:extLst>
        </xdr:cNvPr>
        <xdr:cNvSpPr txBox="1"/>
      </xdr:nvSpPr>
      <xdr:spPr>
        <a:xfrm>
          <a:off x="527050" y="514350"/>
          <a:ext cx="13462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A4779CBF-4F71-48C5-B0D3-1305F579D3B9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 </a:t>
          </a:fld>
          <a:endParaRPr lang="en-IN" sz="1100"/>
        </a:p>
      </xdr:txBody>
    </xdr:sp>
    <xdr:clientData/>
  </xdr:oneCellAnchor>
  <xdr:oneCellAnchor>
    <xdr:from>
      <xdr:col>0</xdr:col>
      <xdr:colOff>946150</xdr:colOff>
      <xdr:row>3</xdr:row>
      <xdr:rowOff>82550</xdr:rowOff>
    </xdr:from>
    <xdr:ext cx="1924050" cy="272477"/>
    <xdr:sp macro="" textlink="KPI!A3">
      <xdr:nvSpPr>
        <xdr:cNvPr id="12" name="TextBox 11">
          <a:extLst>
            <a:ext uri="{FF2B5EF4-FFF2-40B4-BE49-F238E27FC236}">
              <a16:creationId xmlns:a16="http://schemas.microsoft.com/office/drawing/2014/main" id="{BF52BE8A-5A2A-0755-4A00-A701D2A260E1}"/>
            </a:ext>
          </a:extLst>
        </xdr:cNvPr>
        <xdr:cNvSpPr txBox="1"/>
      </xdr:nvSpPr>
      <xdr:spPr>
        <a:xfrm>
          <a:off x="946150" y="635000"/>
          <a:ext cx="1924050" cy="272477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F30B351E-EF55-40F9-A3E8-8FF151BB8D2B}" type="TxLink">
            <a:rPr lang="en-US" sz="1800" b="1" i="0" u="none" strike="noStrike">
              <a:solidFill>
                <a:schemeClr val="bg1"/>
              </a:solidFill>
              <a:latin typeface="Aptos Narrow"/>
            </a:rPr>
            <a:pPr/>
            <a:t>TOTAL SCHEMES</a:t>
          </a:fld>
          <a:endParaRPr lang="en-IN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1593850</xdr:colOff>
      <xdr:row>5</xdr:row>
      <xdr:rowOff>152400</xdr:rowOff>
    </xdr:from>
    <xdr:ext cx="496674" cy="468013"/>
    <xdr:sp macro="" textlink="KPI!B3">
      <xdr:nvSpPr>
        <xdr:cNvPr id="13" name="TextBox 12">
          <a:extLst>
            <a:ext uri="{FF2B5EF4-FFF2-40B4-BE49-F238E27FC236}">
              <a16:creationId xmlns:a16="http://schemas.microsoft.com/office/drawing/2014/main" id="{96917496-EF8C-A5FF-3BE6-5C7993EC7459}"/>
            </a:ext>
          </a:extLst>
        </xdr:cNvPr>
        <xdr:cNvSpPr txBox="1"/>
      </xdr:nvSpPr>
      <xdr:spPr>
        <a:xfrm>
          <a:off x="1593850" y="1073150"/>
          <a:ext cx="49667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C69BF02-7B4D-4350-83C5-1DDE1DA7C838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/>
            <a:t>40</a:t>
          </a:fld>
          <a:endParaRPr lang="en-IN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279400</xdr:colOff>
      <xdr:row>2</xdr:row>
      <xdr:rowOff>171450</xdr:rowOff>
    </xdr:from>
    <xdr:to>
      <xdr:col>7</xdr:col>
      <xdr:colOff>165100</xdr:colOff>
      <xdr:row>9</xdr:row>
      <xdr:rowOff>63500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5F468FA-95EE-4104-BC4E-B906E32C687E}"/>
            </a:ext>
          </a:extLst>
        </xdr:cNvPr>
        <xdr:cNvSpPr/>
      </xdr:nvSpPr>
      <xdr:spPr>
        <a:xfrm>
          <a:off x="3352800" y="539750"/>
          <a:ext cx="2324100" cy="118110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285750</xdr:colOff>
      <xdr:row>3</xdr:row>
      <xdr:rowOff>76200</xdr:rowOff>
    </xdr:from>
    <xdr:ext cx="2352952" cy="342851"/>
    <xdr:sp macro="" textlink="KPI!A4">
      <xdr:nvSpPr>
        <xdr:cNvPr id="15" name="TextBox 14">
          <a:extLst>
            <a:ext uri="{FF2B5EF4-FFF2-40B4-BE49-F238E27FC236}">
              <a16:creationId xmlns:a16="http://schemas.microsoft.com/office/drawing/2014/main" id="{0B98E8DF-BEA0-2B36-B82A-E9041BC039DF}"/>
            </a:ext>
          </a:extLst>
        </xdr:cNvPr>
        <xdr:cNvSpPr txBox="1"/>
      </xdr:nvSpPr>
      <xdr:spPr>
        <a:xfrm>
          <a:off x="3359150" y="628650"/>
          <a:ext cx="235295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11BBA90-6897-49B0-960E-F3EED5B22B57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/>
            <a:t>AVERAGE EXPENSE RATIO</a:t>
          </a:fld>
          <a:endParaRPr lang="en-IN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387350</xdr:colOff>
      <xdr:row>5</xdr:row>
      <xdr:rowOff>165100</xdr:rowOff>
    </xdr:from>
    <xdr:ext cx="966931" cy="468013"/>
    <xdr:sp macro="" textlink="KPI!B4">
      <xdr:nvSpPr>
        <xdr:cNvPr id="16" name="TextBox 15">
          <a:extLst>
            <a:ext uri="{FF2B5EF4-FFF2-40B4-BE49-F238E27FC236}">
              <a16:creationId xmlns:a16="http://schemas.microsoft.com/office/drawing/2014/main" id="{3BF76365-AEE4-EE19-0318-251A8BAC98DD}"/>
            </a:ext>
          </a:extLst>
        </xdr:cNvPr>
        <xdr:cNvSpPr txBox="1"/>
      </xdr:nvSpPr>
      <xdr:spPr>
        <a:xfrm>
          <a:off x="4070350" y="1085850"/>
          <a:ext cx="9669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E4F5D3BB-98D3-4341-AFFE-4E82EE8E59BE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/>
            <a:t>1.24%</a:t>
          </a:fld>
          <a:endParaRPr lang="en-IN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431800</xdr:colOff>
      <xdr:row>2</xdr:row>
      <xdr:rowOff>165100</xdr:rowOff>
    </xdr:from>
    <xdr:to>
      <xdr:col>11</xdr:col>
      <xdr:colOff>273050</xdr:colOff>
      <xdr:row>9</xdr:row>
      <xdr:rowOff>57150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3E20942-4D03-4FFD-9B18-9614272A6AD5}"/>
            </a:ext>
          </a:extLst>
        </xdr:cNvPr>
        <xdr:cNvSpPr/>
      </xdr:nvSpPr>
      <xdr:spPr>
        <a:xfrm>
          <a:off x="5943600" y="533400"/>
          <a:ext cx="2279650" cy="118110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476250</xdr:colOff>
      <xdr:row>3</xdr:row>
      <xdr:rowOff>63500</xdr:rowOff>
    </xdr:from>
    <xdr:ext cx="2232278" cy="374077"/>
    <xdr:sp macro="" textlink="KPI!A5">
      <xdr:nvSpPr>
        <xdr:cNvPr id="18" name="TextBox 17">
          <a:extLst>
            <a:ext uri="{FF2B5EF4-FFF2-40B4-BE49-F238E27FC236}">
              <a16:creationId xmlns:a16="http://schemas.microsoft.com/office/drawing/2014/main" id="{197FEC0B-35A9-9038-77F4-C88210B3A55D}"/>
            </a:ext>
          </a:extLst>
        </xdr:cNvPr>
        <xdr:cNvSpPr txBox="1"/>
      </xdr:nvSpPr>
      <xdr:spPr>
        <a:xfrm>
          <a:off x="5988050" y="615950"/>
          <a:ext cx="223227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1000207-64AB-4281-ADDE-48CEB2A94C19}" type="TxLink">
            <a:rPr lang="en-US" sz="1800" b="1" i="0" u="none" strike="noStrike">
              <a:solidFill>
                <a:schemeClr val="bg1"/>
              </a:solidFill>
              <a:latin typeface="Aptos Narrow"/>
            </a:rPr>
            <a:pPr/>
            <a:t>AVERAGE EXIST LOAD</a:t>
          </a:fld>
          <a:endParaRPr lang="en-IN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450850</xdr:colOff>
      <xdr:row>5</xdr:row>
      <xdr:rowOff>171450</xdr:rowOff>
    </xdr:from>
    <xdr:ext cx="966931" cy="468013"/>
    <xdr:sp macro="" textlink="KPI!B5">
      <xdr:nvSpPr>
        <xdr:cNvPr id="19" name="TextBox 18">
          <a:extLst>
            <a:ext uri="{FF2B5EF4-FFF2-40B4-BE49-F238E27FC236}">
              <a16:creationId xmlns:a16="http://schemas.microsoft.com/office/drawing/2014/main" id="{5145087B-D3A3-67DD-CF5C-0636EC4254ED}"/>
            </a:ext>
          </a:extLst>
        </xdr:cNvPr>
        <xdr:cNvSpPr txBox="1"/>
      </xdr:nvSpPr>
      <xdr:spPr>
        <a:xfrm>
          <a:off x="6572250" y="1092200"/>
          <a:ext cx="9669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183D1A4-2059-4C0F-A000-6826839E301B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/>
            <a:t>0.81%</a:t>
          </a:fld>
          <a:endParaRPr lang="en-IN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571500</xdr:colOff>
      <xdr:row>2</xdr:row>
      <xdr:rowOff>165100</xdr:rowOff>
    </xdr:from>
    <xdr:to>
      <xdr:col>15</xdr:col>
      <xdr:colOff>412750</xdr:colOff>
      <xdr:row>9</xdr:row>
      <xdr:rowOff>57150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4371010A-5414-4DAD-AE4C-52A9ADD0D65B}"/>
            </a:ext>
          </a:extLst>
        </xdr:cNvPr>
        <xdr:cNvSpPr/>
      </xdr:nvSpPr>
      <xdr:spPr>
        <a:xfrm>
          <a:off x="8521700" y="533400"/>
          <a:ext cx="2279650" cy="118110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279400</xdr:colOff>
      <xdr:row>3</xdr:row>
      <xdr:rowOff>57150</xdr:rowOff>
    </xdr:from>
    <xdr:ext cx="1733873" cy="405432"/>
    <xdr:sp macro="" textlink="KPI!A6">
      <xdr:nvSpPr>
        <xdr:cNvPr id="22" name="TextBox 21">
          <a:extLst>
            <a:ext uri="{FF2B5EF4-FFF2-40B4-BE49-F238E27FC236}">
              <a16:creationId xmlns:a16="http://schemas.microsoft.com/office/drawing/2014/main" id="{0A92E1C4-5F43-C1FD-457B-5BA15C3F71FD}"/>
            </a:ext>
          </a:extLst>
        </xdr:cNvPr>
        <xdr:cNvSpPr txBox="1"/>
      </xdr:nvSpPr>
      <xdr:spPr>
        <a:xfrm>
          <a:off x="8839200" y="609600"/>
          <a:ext cx="173387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A0A3F47-1EFA-47C6-81DB-141B622967D8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/>
            <a:t>FUND HOUSES</a:t>
          </a:fld>
          <a:endParaRPr lang="en-IN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273050</xdr:colOff>
      <xdr:row>5</xdr:row>
      <xdr:rowOff>152400</xdr:rowOff>
    </xdr:from>
    <xdr:ext cx="496674" cy="468013"/>
    <xdr:sp macro="" textlink="KPI!B6">
      <xdr:nvSpPr>
        <xdr:cNvPr id="23" name="TextBox 22">
          <a:extLst>
            <a:ext uri="{FF2B5EF4-FFF2-40B4-BE49-F238E27FC236}">
              <a16:creationId xmlns:a16="http://schemas.microsoft.com/office/drawing/2014/main" id="{8E18C5A0-8E1E-A84F-7B97-7861AAED55D6}"/>
            </a:ext>
          </a:extLst>
        </xdr:cNvPr>
        <xdr:cNvSpPr txBox="1"/>
      </xdr:nvSpPr>
      <xdr:spPr>
        <a:xfrm>
          <a:off x="9442450" y="1073150"/>
          <a:ext cx="49667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A09F585-BD17-49B4-BEB8-FF6B1056797B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/>
            <a:t>10</a:t>
          </a:fld>
          <a:endParaRPr lang="en-IN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317500</xdr:colOff>
      <xdr:row>14</xdr:row>
      <xdr:rowOff>0</xdr:rowOff>
    </xdr:from>
    <xdr:ext cx="3352800" cy="2012950"/>
    <xdr:sp macro="" textlink="KPI!E21">
      <xdr:nvSpPr>
        <xdr:cNvPr id="24" name="TextBox 23">
          <a:extLst>
            <a:ext uri="{FF2B5EF4-FFF2-40B4-BE49-F238E27FC236}">
              <a16:creationId xmlns:a16="http://schemas.microsoft.com/office/drawing/2014/main" id="{4C46EF20-C3EC-2235-335A-951CB0C98D4A}"/>
            </a:ext>
          </a:extLst>
        </xdr:cNvPr>
        <xdr:cNvSpPr txBox="1"/>
      </xdr:nvSpPr>
      <xdr:spPr>
        <a:xfrm>
          <a:off x="2171700" y="2578100"/>
          <a:ext cx="3352800" cy="2012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D91315C4-E4CB-43C7-B849-D4C96326686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 </a:t>
          </a:fld>
          <a:endParaRPr lang="en-IN" sz="1100"/>
        </a:p>
      </xdr:txBody>
    </xdr:sp>
    <xdr:clientData/>
  </xdr:oneCellAnchor>
  <xdr:twoCellAnchor>
    <xdr:from>
      <xdr:col>0</xdr:col>
      <xdr:colOff>285750</xdr:colOff>
      <xdr:row>10</xdr:row>
      <xdr:rowOff>0</xdr:rowOff>
    </xdr:from>
    <xdr:to>
      <xdr:col>16</xdr:col>
      <xdr:colOff>571500</xdr:colOff>
      <xdr:row>40</xdr:row>
      <xdr:rowOff>120650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2BDDB5B6-8E3D-6D76-43C3-F1E59803BB4D}"/>
            </a:ext>
          </a:extLst>
        </xdr:cNvPr>
        <xdr:cNvSpPr/>
      </xdr:nvSpPr>
      <xdr:spPr>
        <a:xfrm>
          <a:off x="285750" y="1841500"/>
          <a:ext cx="11283950" cy="5645150"/>
        </a:xfrm>
        <a:prstGeom prst="roundRect">
          <a:avLst>
            <a:gd name="adj" fmla="val 10246"/>
          </a:avLst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400050</xdr:colOff>
      <xdr:row>14</xdr:row>
      <xdr:rowOff>0</xdr:rowOff>
    </xdr:from>
    <xdr:to>
      <xdr:col>9</xdr:col>
      <xdr:colOff>603250</xdr:colOff>
      <xdr:row>26</xdr:row>
      <xdr:rowOff>101600</xdr:rowOff>
    </xdr:to>
    <xdr:graphicFrame macro="">
      <xdr:nvGraphicFramePr>
        <xdr:cNvPr id="30" name="Chart 6">
          <a:extLst>
            <a:ext uri="{FF2B5EF4-FFF2-40B4-BE49-F238E27FC236}">
              <a16:creationId xmlns:a16="http://schemas.microsoft.com/office/drawing/2014/main" id="{1F6A691A-96FC-3967-3693-356E99C04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520700</xdr:colOff>
      <xdr:row>13</xdr:row>
      <xdr:rowOff>171449</xdr:rowOff>
    </xdr:from>
    <xdr:to>
      <xdr:col>4</xdr:col>
      <xdr:colOff>292100</xdr:colOff>
      <xdr:row>26</xdr:row>
      <xdr:rowOff>82550</xdr:rowOff>
    </xdr:to>
    <xdr:graphicFrame macro="">
      <xdr:nvGraphicFramePr>
        <xdr:cNvPr id="32" name="Chart 8">
          <a:extLst>
            <a:ext uri="{FF2B5EF4-FFF2-40B4-BE49-F238E27FC236}">
              <a16:creationId xmlns:a16="http://schemas.microsoft.com/office/drawing/2014/main" id="{E80297DC-A876-EEF9-6272-9EC1EA731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</xdr:colOff>
      <xdr:row>27</xdr:row>
      <xdr:rowOff>19050</xdr:rowOff>
    </xdr:from>
    <xdr:to>
      <xdr:col>16</xdr:col>
      <xdr:colOff>361950</xdr:colOff>
      <xdr:row>39</xdr:row>
      <xdr:rowOff>101600</xdr:rowOff>
    </xdr:to>
    <xdr:graphicFrame macro="">
      <xdr:nvGraphicFramePr>
        <xdr:cNvPr id="31" name="Chart 7">
          <a:extLst>
            <a:ext uri="{FF2B5EF4-FFF2-40B4-BE49-F238E27FC236}">
              <a16:creationId xmlns:a16="http://schemas.microsoft.com/office/drawing/2014/main" id="{A7EF1F97-9F92-3C98-F177-401830E0E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463550</xdr:colOff>
      <xdr:row>27</xdr:row>
      <xdr:rowOff>19050</xdr:rowOff>
    </xdr:from>
    <xdr:to>
      <xdr:col>7</xdr:col>
      <xdr:colOff>558800</xdr:colOff>
      <xdr:row>39</xdr:row>
      <xdr:rowOff>82550</xdr:rowOff>
    </xdr:to>
    <xdr:graphicFrame macro="">
      <xdr:nvGraphicFramePr>
        <xdr:cNvPr id="29" name="Chart 5">
          <a:extLst>
            <a:ext uri="{FF2B5EF4-FFF2-40B4-BE49-F238E27FC236}">
              <a16:creationId xmlns:a16="http://schemas.microsoft.com/office/drawing/2014/main" id="{ECE8D10C-29C7-44F9-8C55-B469CC099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107950</xdr:colOff>
      <xdr:row>13</xdr:row>
      <xdr:rowOff>177800</xdr:rowOff>
    </xdr:from>
    <xdr:to>
      <xdr:col>16</xdr:col>
      <xdr:colOff>336550</xdr:colOff>
      <xdr:row>26</xdr:row>
      <xdr:rowOff>120649</xdr:rowOff>
    </xdr:to>
    <xdr:graphicFrame macro="">
      <xdr:nvGraphicFramePr>
        <xdr:cNvPr id="27" name="Chart 3">
          <a:extLst>
            <a:ext uri="{FF2B5EF4-FFF2-40B4-BE49-F238E27FC236}">
              <a16:creationId xmlns:a16="http://schemas.microsoft.com/office/drawing/2014/main" id="{56596DEF-C1B8-8103-5F29-0D05F623A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127000</xdr:colOff>
      <xdr:row>10</xdr:row>
      <xdr:rowOff>82550</xdr:rowOff>
    </xdr:from>
    <xdr:to>
      <xdr:col>12</xdr:col>
      <xdr:colOff>431800</xdr:colOff>
      <xdr:row>13</xdr:row>
      <xdr:rowOff>76200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A9420932-B576-0076-B0C8-D59CEDBBA52C}"/>
            </a:ext>
          </a:extLst>
        </xdr:cNvPr>
        <xdr:cNvSpPr/>
      </xdr:nvSpPr>
      <xdr:spPr>
        <a:xfrm>
          <a:off x="2590800" y="1924050"/>
          <a:ext cx="6400800" cy="54610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chemeClr val="bg1"/>
              </a:solidFill>
            </a:rPr>
            <a:t>MUTUAL FUND BUSINESS PERFORMANCE DASHBOARD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nd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 Data"/>
      <sheetName val="KPI"/>
      <sheetName val="FundData"/>
    </sheetNames>
    <sheetDataSet>
      <sheetData sheetId="0">
        <row r="2">
          <cell r="B2" t="str">
            <v>SBI Mutual Fund</v>
          </cell>
          <cell r="I2">
            <v>1.54</v>
          </cell>
          <cell r="J2">
            <v>1</v>
          </cell>
        </row>
        <row r="3">
          <cell r="B3" t="str">
            <v>SBI Mutual Fund</v>
          </cell>
          <cell r="I3">
            <v>0.66</v>
          </cell>
          <cell r="J3">
            <v>1</v>
          </cell>
        </row>
        <row r="4">
          <cell r="B4" t="str">
            <v>SBI Mutual Fund</v>
          </cell>
          <cell r="I4">
            <v>1.43</v>
          </cell>
          <cell r="J4">
            <v>1</v>
          </cell>
        </row>
        <row r="5">
          <cell r="B5" t="str">
            <v>SBI Mutual Fund</v>
          </cell>
          <cell r="I5">
            <v>0.72</v>
          </cell>
          <cell r="J5">
            <v>1</v>
          </cell>
        </row>
        <row r="6">
          <cell r="B6" t="str">
            <v>SBI Mutual Fund</v>
          </cell>
          <cell r="I6">
            <v>0.77</v>
          </cell>
          <cell r="J6">
            <v>0</v>
          </cell>
        </row>
        <row r="7">
          <cell r="B7" t="str">
            <v>HDFC Mutual Fund</v>
          </cell>
          <cell r="I7">
            <v>1.55</v>
          </cell>
          <cell r="J7">
            <v>1</v>
          </cell>
        </row>
        <row r="8">
          <cell r="B8" t="str">
            <v>HDFC Mutual Fund</v>
          </cell>
          <cell r="I8">
            <v>0.92</v>
          </cell>
          <cell r="J8">
            <v>1</v>
          </cell>
        </row>
        <row r="9">
          <cell r="B9" t="str">
            <v>HDFC Mutual Fund</v>
          </cell>
          <cell r="I9">
            <v>1.38</v>
          </cell>
          <cell r="J9">
            <v>1</v>
          </cell>
        </row>
        <row r="10">
          <cell r="B10" t="str">
            <v>HDFC Mutual Fund</v>
          </cell>
          <cell r="I10">
            <v>0.78</v>
          </cell>
          <cell r="J10">
            <v>1</v>
          </cell>
        </row>
        <row r="11">
          <cell r="B11" t="str">
            <v>HDFC Mutual Fund</v>
          </cell>
          <cell r="I11">
            <v>0.56000000000000005</v>
          </cell>
          <cell r="J11">
            <v>0.5</v>
          </cell>
        </row>
        <row r="12">
          <cell r="B12" t="str">
            <v>ICICI Prudential MF</v>
          </cell>
          <cell r="I12">
            <v>1.42</v>
          </cell>
          <cell r="J12">
            <v>1</v>
          </cell>
        </row>
        <row r="13">
          <cell r="B13" t="str">
            <v>ICICI Prudential MF</v>
          </cell>
          <cell r="I13">
            <v>0.8</v>
          </cell>
          <cell r="J13">
            <v>1</v>
          </cell>
        </row>
        <row r="14">
          <cell r="B14" t="str">
            <v>ICICI Prudential MF</v>
          </cell>
          <cell r="I14">
            <v>1.36</v>
          </cell>
          <cell r="J14">
            <v>1</v>
          </cell>
        </row>
        <row r="15">
          <cell r="B15" t="str">
            <v>ICICI Prudential MF</v>
          </cell>
          <cell r="I15">
            <v>1.41</v>
          </cell>
          <cell r="J15">
            <v>1</v>
          </cell>
        </row>
        <row r="16">
          <cell r="B16" t="str">
            <v>ICICI Prudential MF</v>
          </cell>
          <cell r="I16">
            <v>0.74</v>
          </cell>
          <cell r="J16">
            <v>0</v>
          </cell>
        </row>
        <row r="17">
          <cell r="B17" t="str">
            <v>Nippon India MF</v>
          </cell>
          <cell r="I17">
            <v>1.51</v>
          </cell>
          <cell r="J17">
            <v>1</v>
          </cell>
        </row>
        <row r="18">
          <cell r="B18" t="str">
            <v>Nippon India MF</v>
          </cell>
          <cell r="I18">
            <v>0.72</v>
          </cell>
          <cell r="J18">
            <v>1</v>
          </cell>
        </row>
        <row r="19">
          <cell r="B19" t="str">
            <v>Nippon India MF</v>
          </cell>
          <cell r="I19">
            <v>1.53</v>
          </cell>
          <cell r="J19">
            <v>1</v>
          </cell>
        </row>
        <row r="20">
          <cell r="B20" t="str">
            <v>Nippon India MF</v>
          </cell>
          <cell r="I20">
            <v>0.89</v>
          </cell>
          <cell r="J20">
            <v>0</v>
          </cell>
        </row>
        <row r="21">
          <cell r="B21" t="str">
            <v>Nippon India MF</v>
          </cell>
          <cell r="I21">
            <v>0.55000000000000004</v>
          </cell>
          <cell r="J21">
            <v>0</v>
          </cell>
        </row>
        <row r="22">
          <cell r="B22" t="str">
            <v>Kotak Mahindra MF</v>
          </cell>
          <cell r="I22">
            <v>1.59</v>
          </cell>
          <cell r="J22">
            <v>1</v>
          </cell>
        </row>
        <row r="23">
          <cell r="B23" t="str">
            <v>Kotak Mahindra MF</v>
          </cell>
          <cell r="I23">
            <v>1.56</v>
          </cell>
          <cell r="J23">
            <v>1</v>
          </cell>
        </row>
        <row r="24">
          <cell r="B24" t="str">
            <v>Kotak Mahindra MF</v>
          </cell>
          <cell r="I24">
            <v>1.45</v>
          </cell>
          <cell r="J24">
            <v>1</v>
          </cell>
        </row>
        <row r="25">
          <cell r="B25" t="str">
            <v>Kotak Mahindra MF</v>
          </cell>
          <cell r="I25">
            <v>0.6</v>
          </cell>
          <cell r="J25">
            <v>0</v>
          </cell>
        </row>
        <row r="26">
          <cell r="B26" t="str">
            <v>Axis Mutual Fund</v>
          </cell>
          <cell r="I26">
            <v>1.64</v>
          </cell>
          <cell r="J26">
            <v>1</v>
          </cell>
        </row>
        <row r="27">
          <cell r="B27" t="str">
            <v>Axis Mutual Fund</v>
          </cell>
          <cell r="I27">
            <v>0.75</v>
          </cell>
          <cell r="J27">
            <v>1</v>
          </cell>
        </row>
        <row r="28">
          <cell r="B28" t="str">
            <v>Axis Mutual Fund</v>
          </cell>
          <cell r="I28">
            <v>1.38</v>
          </cell>
          <cell r="J28">
            <v>1</v>
          </cell>
        </row>
        <row r="29">
          <cell r="B29" t="str">
            <v>Axis Mutual Fund</v>
          </cell>
          <cell r="I29">
            <v>1.38</v>
          </cell>
          <cell r="J29">
            <v>1</v>
          </cell>
        </row>
        <row r="30">
          <cell r="B30" t="str">
            <v>Aditya Birla Sun Life MF</v>
          </cell>
          <cell r="I30">
            <v>1.6</v>
          </cell>
          <cell r="J30">
            <v>1</v>
          </cell>
        </row>
        <row r="31">
          <cell r="B31" t="str">
            <v>Aditya Birla Sun Life MF</v>
          </cell>
          <cell r="I31">
            <v>1.53</v>
          </cell>
          <cell r="J31">
            <v>1</v>
          </cell>
        </row>
        <row r="32">
          <cell r="B32" t="str">
            <v>Aditya Birla Sun Life MF</v>
          </cell>
          <cell r="I32">
            <v>0.79</v>
          </cell>
          <cell r="J32">
            <v>0</v>
          </cell>
        </row>
        <row r="33">
          <cell r="B33" t="str">
            <v>UTI Mutual Fund</v>
          </cell>
          <cell r="I33">
            <v>1.57</v>
          </cell>
          <cell r="J33">
            <v>0</v>
          </cell>
        </row>
        <row r="34">
          <cell r="B34" t="str">
            <v>UTI Mutual Fund</v>
          </cell>
          <cell r="I34">
            <v>1.51</v>
          </cell>
          <cell r="J34">
            <v>1</v>
          </cell>
        </row>
        <row r="35">
          <cell r="B35" t="str">
            <v>UTI Mutual Fund</v>
          </cell>
          <cell r="I35">
            <v>1.64</v>
          </cell>
          <cell r="J35">
            <v>1</v>
          </cell>
        </row>
        <row r="36">
          <cell r="B36" t="str">
            <v>Mirae Asset MF</v>
          </cell>
          <cell r="I36">
            <v>1.46</v>
          </cell>
          <cell r="J36">
            <v>1</v>
          </cell>
        </row>
        <row r="37">
          <cell r="B37" t="str">
            <v>Mirae Asset MF</v>
          </cell>
          <cell r="I37">
            <v>1.52</v>
          </cell>
          <cell r="J37">
            <v>1</v>
          </cell>
        </row>
        <row r="38">
          <cell r="B38" t="str">
            <v>Mirae Asset MF</v>
          </cell>
          <cell r="I38">
            <v>1.6</v>
          </cell>
          <cell r="J38">
            <v>1</v>
          </cell>
        </row>
        <row r="39">
          <cell r="B39" t="str">
            <v>DSP Mutual Fund</v>
          </cell>
          <cell r="I39">
            <v>1.54</v>
          </cell>
          <cell r="J39">
            <v>1</v>
          </cell>
        </row>
        <row r="40">
          <cell r="B40" t="str">
            <v>DSP Mutual Fund</v>
          </cell>
          <cell r="I40">
            <v>1.61</v>
          </cell>
          <cell r="J40">
            <v>1</v>
          </cell>
        </row>
        <row r="41">
          <cell r="B41" t="str">
            <v>DSP Mutual Fund</v>
          </cell>
          <cell r="I41">
            <v>1.52</v>
          </cell>
          <cell r="J41">
            <v>1</v>
          </cell>
        </row>
      </sheetData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ta Manikanta" refreshedDate="46237.827818981481" createdVersion="8" refreshedVersion="8" minRefreshableVersion="3" recordCount="40" xr:uid="{0E364557-3D4F-418A-B7A3-5C59E4A32AD6}">
  <cacheSource type="worksheet">
    <worksheetSource name="_01_fund_master"/>
  </cacheSource>
  <cacheFields count="15">
    <cacheField name="amfi_code" numFmtId="0">
      <sharedItems containsSemiMixedTypes="0" containsString="0" containsNumber="1" containsInteger="1" minValue="100016" maxValue="149324" count="40">
        <n v="119551"/>
        <n v="119552"/>
        <n v="119598"/>
        <n v="119599"/>
        <n v="119120"/>
        <n v="100016"/>
        <n v="125497"/>
        <n v="100033"/>
        <n v="125498"/>
        <n v="100025"/>
        <n v="120503"/>
        <n v="120504"/>
        <n v="120505"/>
        <n v="120506"/>
        <n v="120507"/>
        <n v="118632"/>
        <n v="118633"/>
        <n v="118634"/>
        <n v="118635"/>
        <n v="118636"/>
        <n v="120841"/>
        <n v="120842"/>
        <n v="120843"/>
        <n v="120844"/>
        <n v="119092"/>
        <n v="119093"/>
        <n v="119094"/>
        <n v="119095"/>
        <n v="101206"/>
        <n v="101207"/>
        <n v="101208"/>
        <n v="102885"/>
        <n v="102886"/>
        <n v="102887"/>
        <n v="148567"/>
        <n v="148568"/>
        <n v="148569"/>
        <n v="149322"/>
        <n v="149323"/>
        <n v="149324"/>
      </sharedItems>
    </cacheField>
    <cacheField name="fund_house" numFmtId="0">
      <sharedItems count="10">
        <s v="SBI Mutual Fund"/>
        <s v="HDFC Mutual Fund"/>
        <s v="ICICI Prudential MF"/>
        <s v="Nippon India MF"/>
        <s v="Kotak Mahindra MF"/>
        <s v="Axis Mutual Fund"/>
        <s v="Aditya Birla Sun Life MF"/>
        <s v="UTI Mutual Fund"/>
        <s v="Mirae Asset MF"/>
        <s v="DSP Mutual Fund"/>
      </sharedItems>
    </cacheField>
    <cacheField name="scheme_name" numFmtId="0">
      <sharedItems/>
    </cacheField>
    <cacheField name="category" numFmtId="0">
      <sharedItems count="2">
        <s v="Equity"/>
        <s v="Debt"/>
      </sharedItems>
    </cacheField>
    <cacheField name="sub_category" numFmtId="0">
      <sharedItems/>
    </cacheField>
    <cacheField name="plan" numFmtId="0">
      <sharedItems/>
    </cacheField>
    <cacheField name="launch_date" numFmtId="14">
      <sharedItems containsSemiMixedTypes="0" containsNonDate="0" containsDate="1" containsString="0" minDate="1996-09-11T00:00:00" maxDate="2015-12-29T00:00:00"/>
    </cacheField>
    <cacheField name="benchmark" numFmtId="0">
      <sharedItems/>
    </cacheField>
    <cacheField name="expense_ratio_pct" numFmtId="0">
      <sharedItems containsSemiMixedTypes="0" containsString="0" containsNumber="1" minValue="0.55000000000000004" maxValue="1.64"/>
    </cacheField>
    <cacheField name="exit_load_pct" numFmtId="0">
      <sharedItems containsSemiMixedTypes="0" containsString="0" containsNumber="1" minValue="0" maxValue="1"/>
    </cacheField>
    <cacheField name="min_sip_amount" numFmtId="0">
      <sharedItems containsSemiMixedTypes="0" containsString="0" containsNumber="1" containsInteger="1" minValue="500" maxValue="500"/>
    </cacheField>
    <cacheField name="min_lumpsum_amount" numFmtId="0">
      <sharedItems containsSemiMixedTypes="0" containsString="0" containsNumber="1" containsInteger="1" minValue="100" maxValue="5000"/>
    </cacheField>
    <cacheField name="fund_manager" numFmtId="0">
      <sharedItems/>
    </cacheField>
    <cacheField name="risk_category" numFmtId="0">
      <sharedItems count="5">
        <s v="Moderate"/>
        <s v="Very High"/>
        <s v="Low"/>
        <s v="High"/>
        <s v="Moderately High"/>
      </sharedItems>
    </cacheField>
    <cacheField name="sebi_category_c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s v="SBI Bluechip Fund - Regular Plan - Growth"/>
    <x v="0"/>
    <s v="Large Cap"/>
    <s v="Regular"/>
    <d v="2006-02-14T00:00:00"/>
    <s v="NIFTY 100 TRI"/>
    <n v="1.54"/>
    <n v="1"/>
    <n v="500"/>
    <n v="1000"/>
    <s v="Sohini Andani"/>
    <x v="0"/>
    <s v="EC01"/>
  </r>
  <r>
    <x v="1"/>
    <x v="0"/>
    <s v="SBI Bluechip Fund - Direct Plan - Growth"/>
    <x v="0"/>
    <s v="Large Cap"/>
    <s v="Direct"/>
    <d v="2013-01-01T00:00:00"/>
    <s v="NIFTY 100 TRI"/>
    <n v="0.66"/>
    <n v="1"/>
    <n v="500"/>
    <n v="1000"/>
    <s v="Sohini Andani"/>
    <x v="0"/>
    <s v="EC01"/>
  </r>
  <r>
    <x v="2"/>
    <x v="0"/>
    <s v="SBI Small Cap Fund - Regular Plan - Growth"/>
    <x v="0"/>
    <s v="Small Cap"/>
    <s v="Regular"/>
    <d v="2009-09-09T00:00:00"/>
    <s v="BSE 250 SmallCap TRI"/>
    <n v="1.43"/>
    <n v="1"/>
    <n v="500"/>
    <n v="1000"/>
    <s v="R. Srinivasan"/>
    <x v="1"/>
    <s v="EC03"/>
  </r>
  <r>
    <x v="3"/>
    <x v="0"/>
    <s v="SBI Small Cap Fund - Direct Plan - Growth"/>
    <x v="0"/>
    <s v="Small Cap"/>
    <s v="Direct"/>
    <d v="2013-01-01T00:00:00"/>
    <s v="BSE 250 SmallCap TRI"/>
    <n v="0.72"/>
    <n v="1"/>
    <n v="500"/>
    <n v="1000"/>
    <s v="R. Srinivasan"/>
    <x v="1"/>
    <s v="EC03"/>
  </r>
  <r>
    <x v="4"/>
    <x v="0"/>
    <s v="SBI Magnum Gilt Fund - Regular Plan - Growth"/>
    <x v="1"/>
    <s v="Gilt"/>
    <s v="Regular"/>
    <d v="2000-12-30T00:00:00"/>
    <s v="CRISIL Dynamic Gilt Index"/>
    <n v="0.77"/>
    <n v="0"/>
    <n v="500"/>
    <n v="1000"/>
    <s v="Dinesh Ahuja"/>
    <x v="2"/>
    <s v="DC02"/>
  </r>
  <r>
    <x v="5"/>
    <x v="1"/>
    <s v="HDFC Top 100 Fund - Regular Plan - Growth"/>
    <x v="0"/>
    <s v="Large Cap"/>
    <s v="Regular"/>
    <d v="1996-09-11T00:00:00"/>
    <s v="NIFTY 100 TRI"/>
    <n v="1.55"/>
    <n v="1"/>
    <n v="500"/>
    <n v="1000"/>
    <s v="Rahul Baijal"/>
    <x v="0"/>
    <s v="EC01"/>
  </r>
  <r>
    <x v="6"/>
    <x v="1"/>
    <s v="HDFC Top 100 Fund - Direct Plan - Growth"/>
    <x v="0"/>
    <s v="Large Cap"/>
    <s v="Direct"/>
    <d v="2013-01-01T00:00:00"/>
    <s v="NIFTY 100 TRI"/>
    <n v="0.92"/>
    <n v="1"/>
    <n v="500"/>
    <n v="1000"/>
    <s v="Rahul Baijal"/>
    <x v="0"/>
    <s v="EC01"/>
  </r>
  <r>
    <x v="7"/>
    <x v="1"/>
    <s v="HDFC Mid-Cap Opportunities Fund - Regular - Growth"/>
    <x v="0"/>
    <s v="Mid Cap"/>
    <s v="Regular"/>
    <d v="2007-06-25T00:00:00"/>
    <s v="NIFTY Midcap 150 TRI"/>
    <n v="1.38"/>
    <n v="1"/>
    <n v="500"/>
    <n v="1000"/>
    <s v="Chirag Setalvad"/>
    <x v="3"/>
    <s v="EC02"/>
  </r>
  <r>
    <x v="8"/>
    <x v="1"/>
    <s v="HDFC Mid-Cap Opportunities Fund - Direct - Growth"/>
    <x v="0"/>
    <s v="Mid Cap"/>
    <s v="Direct"/>
    <d v="2013-01-01T00:00:00"/>
    <s v="NIFTY Midcap 150 TRI"/>
    <n v="0.78"/>
    <n v="1"/>
    <n v="500"/>
    <n v="1000"/>
    <s v="Chirag Setalvad"/>
    <x v="3"/>
    <s v="EC02"/>
  </r>
  <r>
    <x v="9"/>
    <x v="1"/>
    <s v="HDFC Short Term Debt Fund - Regular - Growth"/>
    <x v="1"/>
    <s v="Short Duration"/>
    <s v="Regular"/>
    <d v="2002-06-25T00:00:00"/>
    <s v="CRISIL Short Term Bond Index"/>
    <n v="0.56000000000000005"/>
    <n v="0.5"/>
    <n v="500"/>
    <n v="1000"/>
    <s v="Anil Bamboli"/>
    <x v="2"/>
    <s v="DC02"/>
  </r>
  <r>
    <x v="10"/>
    <x v="2"/>
    <s v="ICICI Pru Bluechip Fund - Regular - Growth"/>
    <x v="0"/>
    <s v="Large Cap"/>
    <s v="Regular"/>
    <d v="2008-05-23T00:00:00"/>
    <s v="NIFTY 100 TRI"/>
    <n v="1.42"/>
    <n v="1"/>
    <n v="500"/>
    <n v="1000"/>
    <s v="Anish Tawakley"/>
    <x v="0"/>
    <s v="EC01"/>
  </r>
  <r>
    <x v="11"/>
    <x v="2"/>
    <s v="ICICI Pru Bluechip Fund - Direct - Growth"/>
    <x v="0"/>
    <s v="Large Cap"/>
    <s v="Direct"/>
    <d v="2013-01-01T00:00:00"/>
    <s v="NIFTY 100 TRI"/>
    <n v="0.8"/>
    <n v="1"/>
    <n v="500"/>
    <n v="1000"/>
    <s v="Anish Tawakley"/>
    <x v="0"/>
    <s v="EC01"/>
  </r>
  <r>
    <x v="12"/>
    <x v="2"/>
    <s v="ICICI Pru Midcap Fund - Regular - Growth"/>
    <x v="0"/>
    <s v="Mid Cap"/>
    <s v="Regular"/>
    <d v="2004-10-28T00:00:00"/>
    <s v="NIFTY Midcap 150 TRI"/>
    <n v="1.36"/>
    <n v="1"/>
    <n v="500"/>
    <n v="1000"/>
    <s v="Sankaran Naren"/>
    <x v="3"/>
    <s v="EC02"/>
  </r>
  <r>
    <x v="13"/>
    <x v="2"/>
    <s v="ICICI Pru Value Discovery Fund - Regular - Growth"/>
    <x v="0"/>
    <s v="Value"/>
    <s v="Regular"/>
    <d v="2004-08-16T00:00:00"/>
    <s v="NIFTY 500 TRI"/>
    <n v="1.41"/>
    <n v="1"/>
    <n v="500"/>
    <n v="1000"/>
    <s v="Sankaran Naren"/>
    <x v="4"/>
    <s v="EC06"/>
  </r>
  <r>
    <x v="14"/>
    <x v="2"/>
    <s v="ICICI Pru Liquid Fund - Regular - Growth"/>
    <x v="1"/>
    <s v="Liquid"/>
    <s v="Regular"/>
    <d v="2001-11-17T00:00:00"/>
    <s v="CRISIL Liquid Fund AI Index"/>
    <n v="0.74"/>
    <n v="0"/>
    <n v="500"/>
    <n v="5000"/>
    <s v="Rahul Goswami"/>
    <x v="2"/>
    <s v="DC01"/>
  </r>
  <r>
    <x v="15"/>
    <x v="3"/>
    <s v="Nippon India Large Cap Fund - Regular - Growth"/>
    <x v="0"/>
    <s v="Large Cap"/>
    <s v="Regular"/>
    <d v="2004-08-08T00:00:00"/>
    <s v="NIFTY 100 TRI"/>
    <n v="1.51"/>
    <n v="1"/>
    <n v="500"/>
    <n v="1000"/>
    <s v="Sailesh Raj Bhan"/>
    <x v="0"/>
    <s v="EC01"/>
  </r>
  <r>
    <x v="16"/>
    <x v="3"/>
    <s v="Nippon India Large Cap Fund - Direct - Growth"/>
    <x v="0"/>
    <s v="Large Cap"/>
    <s v="Direct"/>
    <d v="2013-01-01T00:00:00"/>
    <s v="NIFTY 100 TRI"/>
    <n v="0.72"/>
    <n v="1"/>
    <n v="500"/>
    <n v="1000"/>
    <s v="Sailesh Raj Bhan"/>
    <x v="0"/>
    <s v="EC01"/>
  </r>
  <r>
    <x v="17"/>
    <x v="3"/>
    <s v="Nippon India Small Cap Fund - Regular - Growth"/>
    <x v="0"/>
    <s v="Small Cap"/>
    <s v="Regular"/>
    <d v="2010-09-16T00:00:00"/>
    <s v="BSE 250 SmallCap TRI"/>
    <n v="1.53"/>
    <n v="1"/>
    <n v="500"/>
    <n v="1000"/>
    <s v="Samir Rachh"/>
    <x v="1"/>
    <s v="EC03"/>
  </r>
  <r>
    <x v="18"/>
    <x v="3"/>
    <s v="Nippon India ETF Nifty 50 BeES"/>
    <x v="0"/>
    <s v="Index/ETF"/>
    <s v="Direct"/>
    <d v="2001-12-28T00:00:00"/>
    <s v="NIFTY 50 TRI"/>
    <n v="0.89"/>
    <n v="0"/>
    <n v="500"/>
    <n v="100"/>
    <s v="Vishal Jain"/>
    <x v="0"/>
    <s v="EI01"/>
  </r>
  <r>
    <x v="19"/>
    <x v="3"/>
    <s v="Nippon India Gilt Securities Fund - Regular - Growth"/>
    <x v="1"/>
    <s v="Gilt"/>
    <s v="Regular"/>
    <d v="1999-08-19T00:00:00"/>
    <s v="CRISIL Dynamic Gilt Index"/>
    <n v="0.55000000000000004"/>
    <n v="0"/>
    <n v="500"/>
    <n v="1000"/>
    <s v="Vivek Sharma"/>
    <x v="2"/>
    <s v="DC02"/>
  </r>
  <r>
    <x v="20"/>
    <x v="4"/>
    <s v="Kotak Bluechip Fund - Regular - Growth"/>
    <x v="0"/>
    <s v="Large Cap"/>
    <s v="Regular"/>
    <d v="2005-12-29T00:00:00"/>
    <s v="NIFTY 100 TRI"/>
    <n v="1.59"/>
    <n v="1"/>
    <n v="500"/>
    <n v="1000"/>
    <s v="Harsha Upadhyaya"/>
    <x v="0"/>
    <s v="EC01"/>
  </r>
  <r>
    <x v="21"/>
    <x v="4"/>
    <s v="Kotak Emerging Equity Fund - Regular - Growth"/>
    <x v="0"/>
    <s v="Mid Cap"/>
    <s v="Regular"/>
    <d v="2007-03-30T00:00:00"/>
    <s v="NIFTY Midcap 150 TRI"/>
    <n v="1.56"/>
    <n v="1"/>
    <n v="500"/>
    <n v="1000"/>
    <s v="Pankaj Tibrewal"/>
    <x v="3"/>
    <s v="EC02"/>
  </r>
  <r>
    <x v="22"/>
    <x v="4"/>
    <s v="Kotak Flexicap Fund - Regular - Growth"/>
    <x v="0"/>
    <s v="Flexi Cap"/>
    <s v="Regular"/>
    <d v="2009-08-11T00:00:00"/>
    <s v="NIFTY 500 TRI"/>
    <n v="1.45"/>
    <n v="1"/>
    <n v="500"/>
    <n v="1000"/>
    <s v="Pankaj Tibrewal"/>
    <x v="4"/>
    <s v="EC04"/>
  </r>
  <r>
    <x v="23"/>
    <x v="4"/>
    <s v="Kotak Liquid Fund - Regular - Growth"/>
    <x v="1"/>
    <s v="Liquid"/>
    <s v="Regular"/>
    <d v="2004-03-03T00:00:00"/>
    <s v="CRISIL Liquid Fund AI Index"/>
    <n v="0.6"/>
    <n v="0"/>
    <n v="500"/>
    <n v="5000"/>
    <s v="Deepak Agrawal"/>
    <x v="2"/>
    <s v="DC01"/>
  </r>
  <r>
    <x v="24"/>
    <x v="5"/>
    <s v="Axis Bluechip Fund - Regular - Growth"/>
    <x v="0"/>
    <s v="Large Cap"/>
    <s v="Regular"/>
    <d v="2010-01-05T00:00:00"/>
    <s v="NIFTY 100 TRI"/>
    <n v="1.64"/>
    <n v="1"/>
    <n v="500"/>
    <n v="1000"/>
    <s v="Shreyash Devalkar"/>
    <x v="0"/>
    <s v="EC01"/>
  </r>
  <r>
    <x v="25"/>
    <x v="5"/>
    <s v="Axis Bluechip Fund - Direct - Growth"/>
    <x v="0"/>
    <s v="Large Cap"/>
    <s v="Direct"/>
    <d v="2013-01-01T00:00:00"/>
    <s v="NIFTY 100 TRI"/>
    <n v="0.75"/>
    <n v="1"/>
    <n v="500"/>
    <n v="1000"/>
    <s v="Shreyash Devalkar"/>
    <x v="0"/>
    <s v="EC01"/>
  </r>
  <r>
    <x v="26"/>
    <x v="5"/>
    <s v="Axis Midcap Fund - Regular - Growth"/>
    <x v="0"/>
    <s v="Mid Cap"/>
    <s v="Regular"/>
    <d v="2011-02-18T00:00:00"/>
    <s v="NIFTY Midcap 50 TRI"/>
    <n v="1.38"/>
    <n v="1"/>
    <n v="500"/>
    <n v="1000"/>
    <s v="Jinesh Gopani"/>
    <x v="3"/>
    <s v="EC02"/>
  </r>
  <r>
    <x v="27"/>
    <x v="5"/>
    <s v="Axis Small Cap Fund - Regular - Growth"/>
    <x v="0"/>
    <s v="Small Cap"/>
    <s v="Regular"/>
    <d v="2013-11-29T00:00:00"/>
    <s v="BSE 250 SmallCap TRI"/>
    <n v="1.38"/>
    <n v="1"/>
    <n v="500"/>
    <n v="1000"/>
    <s v="Anupam Tiwari"/>
    <x v="1"/>
    <s v="EC03"/>
  </r>
  <r>
    <x v="28"/>
    <x v="6"/>
    <s v="ABSL Frontline Equity Fund - Regular - Growth"/>
    <x v="0"/>
    <s v="Large Cap"/>
    <s v="Regular"/>
    <d v="2002-08-30T00:00:00"/>
    <s v="NIFTY 100 TRI"/>
    <n v="1.6"/>
    <n v="1"/>
    <n v="500"/>
    <n v="1000"/>
    <s v="Mahesh Patil"/>
    <x v="0"/>
    <s v="EC01"/>
  </r>
  <r>
    <x v="29"/>
    <x v="6"/>
    <s v="ABSL Small Cap Fund - Regular - Growth"/>
    <x v="0"/>
    <s v="Small Cap"/>
    <s v="Regular"/>
    <d v="2007-05-31T00:00:00"/>
    <s v="BSE 250 SmallCap TRI"/>
    <n v="1.53"/>
    <n v="1"/>
    <n v="500"/>
    <n v="1000"/>
    <s v="Mircea Ciobanu"/>
    <x v="1"/>
    <s v="EC03"/>
  </r>
  <r>
    <x v="30"/>
    <x v="6"/>
    <s v="ABSL Liquid Fund - Regular - Growth"/>
    <x v="1"/>
    <s v="Liquid"/>
    <s v="Regular"/>
    <d v="2000-04-17T00:00:00"/>
    <s v="CRISIL Liquid Fund AI Index"/>
    <n v="0.79"/>
    <n v="0"/>
    <n v="500"/>
    <n v="5000"/>
    <s v="Maneesh Dangi"/>
    <x v="2"/>
    <s v="DC01"/>
  </r>
  <r>
    <x v="31"/>
    <x v="7"/>
    <s v="UTI Nifty 50 Index Fund - Regular - Growth"/>
    <x v="0"/>
    <s v="Index"/>
    <s v="Regular"/>
    <d v="2000-03-06T00:00:00"/>
    <s v="NIFTY 50 TRI"/>
    <n v="1.57"/>
    <n v="0"/>
    <n v="500"/>
    <n v="1000"/>
    <s v="Sharwan Kumar Goyal"/>
    <x v="0"/>
    <s v="EI01"/>
  </r>
  <r>
    <x v="32"/>
    <x v="7"/>
    <s v="UTI Mid Cap Fund - Regular - Growth"/>
    <x v="0"/>
    <s v="Mid Cap"/>
    <s v="Regular"/>
    <d v="2004-04-07T00:00:00"/>
    <s v="NIFTY Midcap 150 TRI"/>
    <n v="1.51"/>
    <n v="1"/>
    <n v="500"/>
    <n v="1000"/>
    <s v="V Srivatsa"/>
    <x v="3"/>
    <s v="EC02"/>
  </r>
  <r>
    <x v="33"/>
    <x v="7"/>
    <s v="UTI Flexi Cap Fund - Regular - Growth"/>
    <x v="0"/>
    <s v="Flexi Cap"/>
    <s v="Regular"/>
    <d v="2005-05-18T00:00:00"/>
    <s v="NIFTY 500 TRI"/>
    <n v="1.64"/>
    <n v="1"/>
    <n v="500"/>
    <n v="1000"/>
    <s v="Ajay Tyagi"/>
    <x v="4"/>
    <s v="EC04"/>
  </r>
  <r>
    <x v="34"/>
    <x v="8"/>
    <s v="Mirae Asset Large Cap Fund - Regular - Growth"/>
    <x v="0"/>
    <s v="Large Cap"/>
    <s v="Regular"/>
    <d v="2008-04-04T00:00:00"/>
    <s v="NIFTY 100 TRI"/>
    <n v="1.46"/>
    <n v="1"/>
    <n v="500"/>
    <n v="1000"/>
    <s v="Gaurav Misra"/>
    <x v="0"/>
    <s v="EC01"/>
  </r>
  <r>
    <x v="35"/>
    <x v="8"/>
    <s v="Mirae Asset Emerging Bluechip Fund - Regular - Growth"/>
    <x v="0"/>
    <s v="Large &amp; Mid Cap"/>
    <s v="Regular"/>
    <d v="2010-07-09T00:00:00"/>
    <s v="NIFTY Large Midcap 250 TRI"/>
    <n v="1.52"/>
    <n v="1"/>
    <n v="500"/>
    <n v="1000"/>
    <s v="Neelesh Surana"/>
    <x v="4"/>
    <s v="EC04"/>
  </r>
  <r>
    <x v="36"/>
    <x v="8"/>
    <s v="Mirae Asset Tax Saver Fund - Regular - Growth"/>
    <x v="0"/>
    <s v="ELSS"/>
    <s v="Regular"/>
    <d v="2015-12-28T00:00:00"/>
    <s v="NIFTY 500 TRI"/>
    <n v="1.6"/>
    <n v="1"/>
    <n v="500"/>
    <n v="1000"/>
    <s v="Neelesh Surana"/>
    <x v="3"/>
    <s v="EC05"/>
  </r>
  <r>
    <x v="37"/>
    <x v="9"/>
    <s v="DSP Top 100 Equity Fund - Regular - Growth"/>
    <x v="0"/>
    <s v="Large Cap"/>
    <s v="Regular"/>
    <d v="2003-03-10T00:00:00"/>
    <s v="NIFTY 100 TRI"/>
    <n v="1.54"/>
    <n v="1"/>
    <n v="500"/>
    <n v="1000"/>
    <s v="Apoorva Shah"/>
    <x v="0"/>
    <s v="EC01"/>
  </r>
  <r>
    <x v="38"/>
    <x v="9"/>
    <s v="DSP Midcap Fund - Regular - Growth"/>
    <x v="0"/>
    <s v="Mid Cap"/>
    <s v="Regular"/>
    <d v="2006-11-16T00:00:00"/>
    <s v="NIFTY Midcap 150 TRI"/>
    <n v="1.61"/>
    <n v="1"/>
    <n v="500"/>
    <n v="1000"/>
    <s v="Vinit Sambre"/>
    <x v="3"/>
    <s v="EC02"/>
  </r>
  <r>
    <x v="39"/>
    <x v="9"/>
    <s v="DSP Small Cap Fund - Regular - Growth"/>
    <x v="0"/>
    <s v="Small Cap"/>
    <s v="Regular"/>
    <d v="2007-06-14T00:00:00"/>
    <s v="BSE 250 SmallCap TRI"/>
    <n v="1.52"/>
    <n v="1"/>
    <n v="500"/>
    <n v="1000"/>
    <s v="Vinit Sambre"/>
    <x v="1"/>
    <s v="EC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9C37F-EC2C-41F2-BB8E-202D335B548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6:B29" firstHeaderRow="1" firstDataRow="1" firstDataCol="1"/>
  <pivotFields count="15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amfi_code" fld="0" baseField="0" baseItem="0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8C8C4-A30F-49DE-A68A-8D2E5F4AAC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11:B22" firstHeaderRow="1" firstDataRow="1" firstDataCol="1"/>
  <pivotFields count="15">
    <pivotField dataField="1" showAll="0">
      <items count="41">
        <item x="5"/>
        <item x="9"/>
        <item x="7"/>
        <item x="28"/>
        <item x="29"/>
        <item x="30"/>
        <item x="31"/>
        <item x="32"/>
        <item x="33"/>
        <item x="15"/>
        <item x="16"/>
        <item x="17"/>
        <item x="18"/>
        <item x="19"/>
        <item x="24"/>
        <item x="25"/>
        <item x="26"/>
        <item x="27"/>
        <item x="4"/>
        <item x="0"/>
        <item x="1"/>
        <item x="2"/>
        <item x="3"/>
        <item x="10"/>
        <item x="11"/>
        <item x="12"/>
        <item x="13"/>
        <item x="14"/>
        <item x="20"/>
        <item x="21"/>
        <item x="22"/>
        <item x="23"/>
        <item x="6"/>
        <item x="8"/>
        <item x="34"/>
        <item x="35"/>
        <item x="36"/>
        <item x="37"/>
        <item x="38"/>
        <item x="39"/>
        <item t="default"/>
      </items>
    </pivotField>
    <pivotField axis="axisRow" showAll="0">
      <items count="11">
        <item x="6"/>
        <item x="5"/>
        <item x="9"/>
        <item x="1"/>
        <item x="2"/>
        <item x="4"/>
        <item x="8"/>
        <item x="3"/>
        <item x="0"/>
        <item x="7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fi_code" fld="0" baseField="0" baseItem="0"/>
  </dataFields>
  <chartFormats count="1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4DC95-12EB-4379-9472-56F23EF75F4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4:B57" firstHeaderRow="1" firstDataRow="1" firstDataCol="1"/>
  <pivotFields count="15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min_sip_amount" fld="10" subtotal="average" baseField="3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9ED19-5338-4593-9308-2B79F498E88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6:B49" firstHeaderRow="1" firstDataRow="1" firstDataCol="1"/>
  <pivotFields count="15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expense_ratio_pct" fld="8" subtotal="average" baseField="3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1AB46-A90C-404D-ADB2-8D3BAA01263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4:B40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fi_code" fld="0" baseField="0" baseItem="0"/>
  </dataFields>
  <chartFormats count="6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DA6526-59D2-475E-BBC5-D8AFC9043905}" autoFormatId="16" applyNumberFormats="0" applyBorderFormats="0" applyFontFormats="0" applyPatternFormats="0" applyAlignmentFormats="0" applyWidthHeightFormats="0">
  <queryTableRefresh nextId="16">
    <queryTableFields count="15">
      <queryTableField id="1" name="amfi_code" tableColumnId="1"/>
      <queryTableField id="2" name="fund_house" tableColumnId="2"/>
      <queryTableField id="3" name="scheme_name" tableColumnId="3"/>
      <queryTableField id="4" name="category" tableColumnId="4"/>
      <queryTableField id="5" name="sub_category" tableColumnId="5"/>
      <queryTableField id="6" name="plan" tableColumnId="6"/>
      <queryTableField id="7" name="launch_date" tableColumnId="7"/>
      <queryTableField id="8" name="benchmark" tableColumnId="8"/>
      <queryTableField id="9" name="expense_ratio_pct" tableColumnId="9"/>
      <queryTableField id="10" name="exit_load_pct" tableColumnId="10"/>
      <queryTableField id="11" name="min_sip_amount" tableColumnId="11"/>
      <queryTableField id="12" name="min_lumpsum_amount" tableColumnId="12"/>
      <queryTableField id="13" name="fund_manager" tableColumnId="13"/>
      <queryTableField id="14" name="risk_category" tableColumnId="14"/>
      <queryTableField id="15" name="sebi_category_cod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CFEF4-1C2D-4F8C-9E2A-7208EB936FD5}" name="_01_fund_master" displayName="_01_fund_master" ref="A1:O41" tableType="queryTable" totalsRowShown="0">
  <autoFilter ref="A1:O41" xr:uid="{553CFEF4-1C2D-4F8C-9E2A-7208EB936FD5}"/>
  <tableColumns count="15">
    <tableColumn id="1" xr3:uid="{A673A012-309C-449D-823A-3DE9ED6BF006}" uniqueName="1" name="amfi_code" queryTableFieldId="1"/>
    <tableColumn id="2" xr3:uid="{96DDF1ED-FB34-4E3B-B4AA-96DEAE3F5E8E}" uniqueName="2" name="fund_house" queryTableFieldId="2" dataDxfId="9"/>
    <tableColumn id="3" xr3:uid="{68866CC4-25F0-477E-B837-54BB955A5E2D}" uniqueName="3" name="scheme_name" queryTableFieldId="3" dataDxfId="8"/>
    <tableColumn id="4" xr3:uid="{2D9F753D-9529-4074-936D-71578C43D1DB}" uniqueName="4" name="category" queryTableFieldId="4" dataDxfId="7"/>
    <tableColumn id="5" xr3:uid="{AAC5162C-11C0-4939-A10A-102CA96EE0D8}" uniqueName="5" name="sub_category" queryTableFieldId="5" dataDxfId="6"/>
    <tableColumn id="6" xr3:uid="{D8F1E596-FA8C-4C64-AF18-9A9C97BBB870}" uniqueName="6" name="plan" queryTableFieldId="6" dataDxfId="5"/>
    <tableColumn id="7" xr3:uid="{D7558E89-35A6-43AF-BB95-3E649205F80C}" uniqueName="7" name="launch_date" queryTableFieldId="7" dataDxfId="4"/>
    <tableColumn id="8" xr3:uid="{3AB4BF10-F04B-46FC-AA10-ED83D44359FF}" uniqueName="8" name="benchmark" queryTableFieldId="8" dataDxfId="3"/>
    <tableColumn id="9" xr3:uid="{5660B5EB-5BB4-4EDD-9FDD-6ABE59E437D4}" uniqueName="9" name="expense_ratio_pct" queryTableFieldId="9"/>
    <tableColumn id="10" xr3:uid="{D718064C-7442-4EF3-8F64-1E801AF83028}" uniqueName="10" name="exit_load_pct" queryTableFieldId="10"/>
    <tableColumn id="11" xr3:uid="{B9F46365-7AF2-49F8-A17A-FEF37C47FBAF}" uniqueName="11" name="min_sip_amount" queryTableFieldId="11"/>
    <tableColumn id="12" xr3:uid="{F4364D75-F8A3-4D36-987B-3ED05D61522D}" uniqueName="12" name="min_lumpsum_amount" queryTableFieldId="12"/>
    <tableColumn id="13" xr3:uid="{D431AF7F-F889-4FAE-A384-247EF392214E}" uniqueName="13" name="fund_manager" queryTableFieldId="13" dataDxfId="2"/>
    <tableColumn id="14" xr3:uid="{7F65DAC3-F179-4E8B-90F4-E9B6FB16FFAB}" uniqueName="14" name="risk_category" queryTableFieldId="14" dataDxfId="1"/>
    <tableColumn id="15" xr3:uid="{59B3A1C0-1C68-4FB7-8750-A6870CFA036A}" uniqueName="15" name="sebi_category_code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4034-FB5A-482A-A714-717CEE2A9F8C}">
  <dimension ref="A1:B57"/>
  <sheetViews>
    <sheetView tabSelected="1" topLeftCell="A35" workbookViewId="0">
      <selection activeCell="D41" sqref="D41"/>
    </sheetView>
  </sheetViews>
  <sheetFormatPr defaultRowHeight="14.5" x14ac:dyDescent="0.35"/>
  <cols>
    <col min="1" max="1" width="12.453125" bestFit="1" customWidth="1"/>
    <col min="2" max="2" width="23.90625" bestFit="1" customWidth="1"/>
    <col min="4" max="4" width="19.453125" bestFit="1" customWidth="1"/>
    <col min="5" max="5" width="15.81640625" bestFit="1" customWidth="1"/>
    <col min="6" max="44" width="6.81640625" bestFit="1" customWidth="1"/>
    <col min="45" max="45" width="10.36328125" bestFit="1" customWidth="1"/>
  </cols>
  <sheetData>
    <row r="1" spans="1:2" ht="23.5" x14ac:dyDescent="0.55000000000000004">
      <c r="A1" s="4" t="s">
        <v>134</v>
      </c>
    </row>
    <row r="3" spans="1:2" x14ac:dyDescent="0.35">
      <c r="A3" t="s">
        <v>135</v>
      </c>
      <c r="B3">
        <f>COUNTA('[1]Fund Data'!A2:A41)</f>
        <v>40</v>
      </c>
    </row>
    <row r="4" spans="1:2" x14ac:dyDescent="0.35">
      <c r="A4" t="s">
        <v>136</v>
      </c>
      <c r="B4" s="2">
        <f>AVERAGE('[1]Fund Data'!I2:I41)</f>
        <v>1.2370000000000001</v>
      </c>
    </row>
    <row r="5" spans="1:2" x14ac:dyDescent="0.35">
      <c r="A5" t="s">
        <v>137</v>
      </c>
      <c r="B5" s="3">
        <f>AVERAGE('[1]Fund Data'!J2:J41)</f>
        <v>0.8125</v>
      </c>
    </row>
    <row r="6" spans="1:2" x14ac:dyDescent="0.35">
      <c r="A6" t="s">
        <v>138</v>
      </c>
      <c r="B6">
        <f>COUNTA(_xlfn.UNIQUE('[1]Fund Data'!B2:B41))</f>
        <v>10</v>
      </c>
    </row>
    <row r="9" spans="1:2" ht="18.5" x14ac:dyDescent="0.45">
      <c r="A9" s="9" t="s">
        <v>144</v>
      </c>
      <c r="B9" s="9"/>
    </row>
    <row r="11" spans="1:2" x14ac:dyDescent="0.35">
      <c r="A11" s="6" t="s">
        <v>139</v>
      </c>
      <c r="B11" t="s">
        <v>141</v>
      </c>
    </row>
    <row r="12" spans="1:2" x14ac:dyDescent="0.35">
      <c r="A12" s="7" t="s">
        <v>103</v>
      </c>
      <c r="B12">
        <v>303621</v>
      </c>
    </row>
    <row r="13" spans="1:2" x14ac:dyDescent="0.35">
      <c r="A13" s="7" t="s">
        <v>94</v>
      </c>
      <c r="B13">
        <v>476374</v>
      </c>
    </row>
    <row r="14" spans="1:2" x14ac:dyDescent="0.35">
      <c r="A14" s="7" t="s">
        <v>128</v>
      </c>
      <c r="B14">
        <v>447969</v>
      </c>
    </row>
    <row r="15" spans="1:2" x14ac:dyDescent="0.35">
      <c r="A15" s="7" t="s">
        <v>40</v>
      </c>
      <c r="B15">
        <v>551069</v>
      </c>
    </row>
    <row r="16" spans="1:2" x14ac:dyDescent="0.35">
      <c r="A16" s="7" t="s">
        <v>55</v>
      </c>
      <c r="B16">
        <v>602525</v>
      </c>
    </row>
    <row r="17" spans="1:2" x14ac:dyDescent="0.35">
      <c r="A17" s="7" t="s">
        <v>84</v>
      </c>
      <c r="B17">
        <v>483370</v>
      </c>
    </row>
    <row r="18" spans="1:2" x14ac:dyDescent="0.35">
      <c r="A18" s="7" t="s">
        <v>118</v>
      </c>
      <c r="B18">
        <v>445704</v>
      </c>
    </row>
    <row r="19" spans="1:2" x14ac:dyDescent="0.35">
      <c r="A19" s="7" t="s">
        <v>71</v>
      </c>
      <c r="B19">
        <v>593170</v>
      </c>
    </row>
    <row r="20" spans="1:2" x14ac:dyDescent="0.35">
      <c r="A20" s="7" t="s">
        <v>15</v>
      </c>
      <c r="B20">
        <v>597420</v>
      </c>
    </row>
    <row r="21" spans="1:2" x14ac:dyDescent="0.35">
      <c r="A21" s="7" t="s">
        <v>110</v>
      </c>
      <c r="B21">
        <v>308658</v>
      </c>
    </row>
    <row r="22" spans="1:2" x14ac:dyDescent="0.35">
      <c r="A22" s="7" t="s">
        <v>140</v>
      </c>
      <c r="B22">
        <v>4809880</v>
      </c>
    </row>
    <row r="24" spans="1:2" ht="21" x14ac:dyDescent="0.5">
      <c r="A24" s="13" t="s">
        <v>145</v>
      </c>
      <c r="B24" s="10"/>
    </row>
    <row r="26" spans="1:2" x14ac:dyDescent="0.35">
      <c r="A26" s="6" t="s">
        <v>139</v>
      </c>
      <c r="B26" t="s">
        <v>141</v>
      </c>
    </row>
    <row r="27" spans="1:2" x14ac:dyDescent="0.35">
      <c r="A27" s="7" t="s">
        <v>34</v>
      </c>
      <c r="B27">
        <v>680340</v>
      </c>
    </row>
    <row r="28" spans="1:2" x14ac:dyDescent="0.35">
      <c r="A28" s="7" t="s">
        <v>17</v>
      </c>
      <c r="B28">
        <v>4129540</v>
      </c>
    </row>
    <row r="29" spans="1:2" x14ac:dyDescent="0.35">
      <c r="A29" s="7" t="s">
        <v>140</v>
      </c>
      <c r="B29">
        <v>4809880</v>
      </c>
    </row>
    <row r="32" spans="1:2" ht="18.5" x14ac:dyDescent="0.45">
      <c r="A32" s="12" t="s">
        <v>146</v>
      </c>
      <c r="B32" s="9"/>
    </row>
    <row r="34" spans="1:2" x14ac:dyDescent="0.35">
      <c r="A34" s="6" t="s">
        <v>139</v>
      </c>
      <c r="B34" t="s">
        <v>141</v>
      </c>
    </row>
    <row r="35" spans="1:2" x14ac:dyDescent="0.35">
      <c r="A35" s="7" t="s">
        <v>48</v>
      </c>
      <c r="B35">
        <v>986750</v>
      </c>
    </row>
    <row r="36" spans="1:2" x14ac:dyDescent="0.35">
      <c r="A36" s="7" t="s">
        <v>38</v>
      </c>
      <c r="B36">
        <v>680340</v>
      </c>
    </row>
    <row r="37" spans="1:2" x14ac:dyDescent="0.35">
      <c r="A37" s="7" t="s">
        <v>22</v>
      </c>
      <c r="B37">
        <v>1922529</v>
      </c>
    </row>
    <row r="38" spans="1:2" x14ac:dyDescent="0.35">
      <c r="A38" s="7" t="s">
        <v>64</v>
      </c>
      <c r="B38">
        <v>492804</v>
      </c>
    </row>
    <row r="39" spans="1:2" x14ac:dyDescent="0.35">
      <c r="A39" s="7" t="s">
        <v>30</v>
      </c>
      <c r="B39">
        <v>727457</v>
      </c>
    </row>
    <row r="40" spans="1:2" x14ac:dyDescent="0.35">
      <c r="A40" s="7" t="s">
        <v>140</v>
      </c>
      <c r="B40">
        <v>4809880</v>
      </c>
    </row>
    <row r="43" spans="1:2" ht="16" x14ac:dyDescent="0.4">
      <c r="A43" s="11" t="s">
        <v>148</v>
      </c>
      <c r="B43" s="8"/>
    </row>
    <row r="46" spans="1:2" x14ac:dyDescent="0.35">
      <c r="A46" s="6" t="s">
        <v>139</v>
      </c>
      <c r="B46" t="s">
        <v>142</v>
      </c>
    </row>
    <row r="47" spans="1:2" x14ac:dyDescent="0.35">
      <c r="A47" s="7" t="s">
        <v>34</v>
      </c>
      <c r="B47">
        <v>0.66833333333333333</v>
      </c>
    </row>
    <row r="48" spans="1:2" x14ac:dyDescent="0.35">
      <c r="A48" s="7" t="s">
        <v>17</v>
      </c>
      <c r="B48">
        <v>1.3373529411764709</v>
      </c>
    </row>
    <row r="49" spans="1:2" x14ac:dyDescent="0.35">
      <c r="A49" s="7" t="s">
        <v>140</v>
      </c>
      <c r="B49">
        <v>1.2370000000000003</v>
      </c>
    </row>
    <row r="52" spans="1:2" ht="16" x14ac:dyDescent="0.4">
      <c r="A52" s="11" t="s">
        <v>147</v>
      </c>
      <c r="B52" s="8"/>
    </row>
    <row r="54" spans="1:2" x14ac:dyDescent="0.35">
      <c r="A54" s="6" t="s">
        <v>139</v>
      </c>
      <c r="B54" t="s">
        <v>143</v>
      </c>
    </row>
    <row r="55" spans="1:2" x14ac:dyDescent="0.35">
      <c r="A55" s="7" t="s">
        <v>34</v>
      </c>
      <c r="B55">
        <v>500</v>
      </c>
    </row>
    <row r="56" spans="1:2" x14ac:dyDescent="0.35">
      <c r="A56" s="7" t="s">
        <v>17</v>
      </c>
      <c r="B56">
        <v>500</v>
      </c>
    </row>
    <row r="57" spans="1:2" x14ac:dyDescent="0.35">
      <c r="A57" s="7" t="s">
        <v>140</v>
      </c>
      <c r="B5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4A64-9989-4BCD-A16D-A65706057F03}">
  <dimension ref="A1:O41"/>
  <sheetViews>
    <sheetView workbookViewId="0">
      <selection activeCell="C14" sqref="C14"/>
    </sheetView>
  </sheetViews>
  <sheetFormatPr defaultRowHeight="14.5" x14ac:dyDescent="0.35"/>
  <cols>
    <col min="1" max="1" width="11.81640625" bestFit="1" customWidth="1"/>
    <col min="2" max="2" width="19.453125" bestFit="1" customWidth="1"/>
    <col min="3" max="3" width="45.1796875" bestFit="1" customWidth="1"/>
    <col min="4" max="4" width="10.1796875" bestFit="1" customWidth="1"/>
    <col min="5" max="5" width="14.08984375" bestFit="1" customWidth="1"/>
    <col min="6" max="6" width="6.90625" bestFit="1" customWidth="1"/>
    <col min="7" max="7" width="13.453125" bestFit="1" customWidth="1"/>
    <col min="8" max="8" width="24.453125" bestFit="1" customWidth="1"/>
    <col min="9" max="9" width="18.36328125" bestFit="1" customWidth="1"/>
    <col min="10" max="10" width="14.1796875" bestFit="1" customWidth="1"/>
    <col min="11" max="11" width="17.08984375" bestFit="1" customWidth="1"/>
    <col min="12" max="12" width="22.6328125" bestFit="1" customWidth="1"/>
    <col min="13" max="13" width="18.36328125" bestFit="1" customWidth="1"/>
    <col min="14" max="14" width="14.08984375" bestFit="1" customWidth="1"/>
    <col min="15" max="15" width="19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119551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38762</v>
      </c>
      <c r="H2" t="s">
        <v>20</v>
      </c>
      <c r="I2">
        <v>1.54</v>
      </c>
      <c r="J2">
        <v>1</v>
      </c>
      <c r="K2">
        <v>500</v>
      </c>
      <c r="L2">
        <v>1000</v>
      </c>
      <c r="M2" t="s">
        <v>21</v>
      </c>
      <c r="N2" t="s">
        <v>22</v>
      </c>
      <c r="O2" t="s">
        <v>23</v>
      </c>
    </row>
    <row r="3" spans="1:15" x14ac:dyDescent="0.35">
      <c r="A3">
        <v>119552</v>
      </c>
      <c r="B3" t="s">
        <v>15</v>
      </c>
      <c r="C3" t="s">
        <v>24</v>
      </c>
      <c r="D3" t="s">
        <v>17</v>
      </c>
      <c r="E3" t="s">
        <v>18</v>
      </c>
      <c r="F3" t="s">
        <v>25</v>
      </c>
      <c r="G3" s="1">
        <v>41275</v>
      </c>
      <c r="H3" t="s">
        <v>20</v>
      </c>
      <c r="I3">
        <v>0.66</v>
      </c>
      <c r="J3">
        <v>1</v>
      </c>
      <c r="K3">
        <v>500</v>
      </c>
      <c r="L3">
        <v>1000</v>
      </c>
      <c r="M3" t="s">
        <v>21</v>
      </c>
      <c r="N3" t="s">
        <v>22</v>
      </c>
      <c r="O3" t="s">
        <v>23</v>
      </c>
    </row>
    <row r="4" spans="1:15" x14ac:dyDescent="0.35">
      <c r="A4">
        <v>119598</v>
      </c>
      <c r="B4" t="s">
        <v>15</v>
      </c>
      <c r="C4" t="s">
        <v>26</v>
      </c>
      <c r="D4" t="s">
        <v>17</v>
      </c>
      <c r="E4" t="s">
        <v>27</v>
      </c>
      <c r="F4" t="s">
        <v>19</v>
      </c>
      <c r="G4" s="1">
        <v>40065</v>
      </c>
      <c r="H4" t="s">
        <v>28</v>
      </c>
      <c r="I4">
        <v>1.43</v>
      </c>
      <c r="J4">
        <v>1</v>
      </c>
      <c r="K4">
        <v>500</v>
      </c>
      <c r="L4">
        <v>1000</v>
      </c>
      <c r="M4" t="s">
        <v>29</v>
      </c>
      <c r="N4" t="s">
        <v>30</v>
      </c>
      <c r="O4" t="s">
        <v>31</v>
      </c>
    </row>
    <row r="5" spans="1:15" x14ac:dyDescent="0.35">
      <c r="A5">
        <v>119599</v>
      </c>
      <c r="B5" t="s">
        <v>15</v>
      </c>
      <c r="C5" t="s">
        <v>32</v>
      </c>
      <c r="D5" t="s">
        <v>17</v>
      </c>
      <c r="E5" t="s">
        <v>27</v>
      </c>
      <c r="F5" t="s">
        <v>25</v>
      </c>
      <c r="G5" s="1">
        <v>41275</v>
      </c>
      <c r="H5" t="s">
        <v>28</v>
      </c>
      <c r="I5">
        <v>0.72</v>
      </c>
      <c r="J5">
        <v>1</v>
      </c>
      <c r="K5">
        <v>500</v>
      </c>
      <c r="L5">
        <v>1000</v>
      </c>
      <c r="M5" t="s">
        <v>29</v>
      </c>
      <c r="N5" t="s">
        <v>30</v>
      </c>
      <c r="O5" t="s">
        <v>31</v>
      </c>
    </row>
    <row r="6" spans="1:15" x14ac:dyDescent="0.35">
      <c r="A6">
        <v>119120</v>
      </c>
      <c r="B6" t="s">
        <v>15</v>
      </c>
      <c r="C6" t="s">
        <v>33</v>
      </c>
      <c r="D6" t="s">
        <v>34</v>
      </c>
      <c r="E6" t="s">
        <v>35</v>
      </c>
      <c r="F6" t="s">
        <v>19</v>
      </c>
      <c r="G6" s="1">
        <v>36890</v>
      </c>
      <c r="H6" t="s">
        <v>36</v>
      </c>
      <c r="I6">
        <v>0.77</v>
      </c>
      <c r="J6">
        <v>0</v>
      </c>
      <c r="K6">
        <v>500</v>
      </c>
      <c r="L6">
        <v>1000</v>
      </c>
      <c r="M6" t="s">
        <v>37</v>
      </c>
      <c r="N6" t="s">
        <v>38</v>
      </c>
      <c r="O6" t="s">
        <v>39</v>
      </c>
    </row>
    <row r="7" spans="1:15" x14ac:dyDescent="0.35">
      <c r="A7">
        <v>100016</v>
      </c>
      <c r="B7" t="s">
        <v>40</v>
      </c>
      <c r="C7" t="s">
        <v>41</v>
      </c>
      <c r="D7" t="s">
        <v>17</v>
      </c>
      <c r="E7" t="s">
        <v>18</v>
      </c>
      <c r="F7" t="s">
        <v>19</v>
      </c>
      <c r="G7" s="1">
        <v>35319</v>
      </c>
      <c r="H7" t="s">
        <v>20</v>
      </c>
      <c r="I7">
        <v>1.55</v>
      </c>
      <c r="J7">
        <v>1</v>
      </c>
      <c r="K7">
        <v>500</v>
      </c>
      <c r="L7">
        <v>1000</v>
      </c>
      <c r="M7" t="s">
        <v>42</v>
      </c>
      <c r="N7" t="s">
        <v>22</v>
      </c>
      <c r="O7" t="s">
        <v>23</v>
      </c>
    </row>
    <row r="8" spans="1:15" x14ac:dyDescent="0.35">
      <c r="A8">
        <v>125497</v>
      </c>
      <c r="B8" t="s">
        <v>40</v>
      </c>
      <c r="C8" t="s">
        <v>43</v>
      </c>
      <c r="D8" t="s">
        <v>17</v>
      </c>
      <c r="E8" t="s">
        <v>18</v>
      </c>
      <c r="F8" t="s">
        <v>25</v>
      </c>
      <c r="G8" s="1">
        <v>41275</v>
      </c>
      <c r="H8" t="s">
        <v>20</v>
      </c>
      <c r="I8">
        <v>0.92</v>
      </c>
      <c r="J8">
        <v>1</v>
      </c>
      <c r="K8">
        <v>500</v>
      </c>
      <c r="L8">
        <v>1000</v>
      </c>
      <c r="M8" t="s">
        <v>42</v>
      </c>
      <c r="N8" t="s">
        <v>22</v>
      </c>
      <c r="O8" t="s">
        <v>23</v>
      </c>
    </row>
    <row r="9" spans="1:15" x14ac:dyDescent="0.35">
      <c r="A9">
        <v>100033</v>
      </c>
      <c r="B9" t="s">
        <v>40</v>
      </c>
      <c r="C9" t="s">
        <v>44</v>
      </c>
      <c r="D9" t="s">
        <v>17</v>
      </c>
      <c r="E9" t="s">
        <v>45</v>
      </c>
      <c r="F9" t="s">
        <v>19</v>
      </c>
      <c r="G9" s="1">
        <v>39258</v>
      </c>
      <c r="H9" t="s">
        <v>46</v>
      </c>
      <c r="I9">
        <v>1.38</v>
      </c>
      <c r="J9">
        <v>1</v>
      </c>
      <c r="K9">
        <v>500</v>
      </c>
      <c r="L9">
        <v>1000</v>
      </c>
      <c r="M9" t="s">
        <v>47</v>
      </c>
      <c r="N9" t="s">
        <v>48</v>
      </c>
      <c r="O9" t="s">
        <v>49</v>
      </c>
    </row>
    <row r="10" spans="1:15" x14ac:dyDescent="0.35">
      <c r="A10">
        <v>125498</v>
      </c>
      <c r="B10" t="s">
        <v>40</v>
      </c>
      <c r="C10" t="s">
        <v>50</v>
      </c>
      <c r="D10" t="s">
        <v>17</v>
      </c>
      <c r="E10" t="s">
        <v>45</v>
      </c>
      <c r="F10" t="s">
        <v>25</v>
      </c>
      <c r="G10" s="1">
        <v>41275</v>
      </c>
      <c r="H10" t="s">
        <v>46</v>
      </c>
      <c r="I10">
        <v>0.78</v>
      </c>
      <c r="J10">
        <v>1</v>
      </c>
      <c r="K10">
        <v>500</v>
      </c>
      <c r="L10">
        <v>1000</v>
      </c>
      <c r="M10" t="s">
        <v>47</v>
      </c>
      <c r="N10" t="s">
        <v>48</v>
      </c>
      <c r="O10" t="s">
        <v>49</v>
      </c>
    </row>
    <row r="11" spans="1:15" x14ac:dyDescent="0.35">
      <c r="A11">
        <v>100025</v>
      </c>
      <c r="B11" t="s">
        <v>40</v>
      </c>
      <c r="C11" t="s">
        <v>51</v>
      </c>
      <c r="D11" t="s">
        <v>34</v>
      </c>
      <c r="E11" t="s">
        <v>52</v>
      </c>
      <c r="F11" t="s">
        <v>19</v>
      </c>
      <c r="G11" s="1">
        <v>37432</v>
      </c>
      <c r="H11" t="s">
        <v>53</v>
      </c>
      <c r="I11">
        <v>0.56000000000000005</v>
      </c>
      <c r="J11">
        <v>0.5</v>
      </c>
      <c r="K11">
        <v>500</v>
      </c>
      <c r="L11">
        <v>1000</v>
      </c>
      <c r="M11" t="s">
        <v>54</v>
      </c>
      <c r="N11" t="s">
        <v>38</v>
      </c>
      <c r="O11" t="s">
        <v>39</v>
      </c>
    </row>
    <row r="12" spans="1:15" x14ac:dyDescent="0.35">
      <c r="A12">
        <v>120503</v>
      </c>
      <c r="B12" t="s">
        <v>55</v>
      </c>
      <c r="C12" t="s">
        <v>56</v>
      </c>
      <c r="D12" t="s">
        <v>17</v>
      </c>
      <c r="E12" t="s">
        <v>18</v>
      </c>
      <c r="F12" t="s">
        <v>19</v>
      </c>
      <c r="G12" s="1">
        <v>39591</v>
      </c>
      <c r="H12" t="s">
        <v>20</v>
      </c>
      <c r="I12">
        <v>1.42</v>
      </c>
      <c r="J12">
        <v>1</v>
      </c>
      <c r="K12">
        <v>500</v>
      </c>
      <c r="L12">
        <v>1000</v>
      </c>
      <c r="M12" t="s">
        <v>57</v>
      </c>
      <c r="N12" t="s">
        <v>22</v>
      </c>
      <c r="O12" t="s">
        <v>23</v>
      </c>
    </row>
    <row r="13" spans="1:15" x14ac:dyDescent="0.35">
      <c r="A13">
        <v>120504</v>
      </c>
      <c r="B13" t="s">
        <v>55</v>
      </c>
      <c r="C13" t="s">
        <v>58</v>
      </c>
      <c r="D13" t="s">
        <v>17</v>
      </c>
      <c r="E13" t="s">
        <v>18</v>
      </c>
      <c r="F13" t="s">
        <v>25</v>
      </c>
      <c r="G13" s="1">
        <v>41275</v>
      </c>
      <c r="H13" t="s">
        <v>20</v>
      </c>
      <c r="I13">
        <v>0.8</v>
      </c>
      <c r="J13">
        <v>1</v>
      </c>
      <c r="K13">
        <v>500</v>
      </c>
      <c r="L13">
        <v>1000</v>
      </c>
      <c r="M13" t="s">
        <v>57</v>
      </c>
      <c r="N13" t="s">
        <v>22</v>
      </c>
      <c r="O13" t="s">
        <v>23</v>
      </c>
    </row>
    <row r="14" spans="1:15" x14ac:dyDescent="0.35">
      <c r="A14">
        <v>120505</v>
      </c>
      <c r="B14" t="s">
        <v>55</v>
      </c>
      <c r="C14" t="s">
        <v>59</v>
      </c>
      <c r="D14" t="s">
        <v>17</v>
      </c>
      <c r="E14" t="s">
        <v>45</v>
      </c>
      <c r="F14" t="s">
        <v>19</v>
      </c>
      <c r="G14" s="1">
        <v>38288</v>
      </c>
      <c r="H14" t="s">
        <v>46</v>
      </c>
      <c r="I14">
        <v>1.36</v>
      </c>
      <c r="J14">
        <v>1</v>
      </c>
      <c r="K14">
        <v>500</v>
      </c>
      <c r="L14">
        <v>1000</v>
      </c>
      <c r="M14" t="s">
        <v>60</v>
      </c>
      <c r="N14" t="s">
        <v>48</v>
      </c>
      <c r="O14" t="s">
        <v>49</v>
      </c>
    </row>
    <row r="15" spans="1:15" x14ac:dyDescent="0.35">
      <c r="A15">
        <v>120506</v>
      </c>
      <c r="B15" t="s">
        <v>55</v>
      </c>
      <c r="C15" t="s">
        <v>61</v>
      </c>
      <c r="D15" t="s">
        <v>17</v>
      </c>
      <c r="E15" t="s">
        <v>62</v>
      </c>
      <c r="F15" t="s">
        <v>19</v>
      </c>
      <c r="G15" s="1">
        <v>38215</v>
      </c>
      <c r="H15" t="s">
        <v>63</v>
      </c>
      <c r="I15">
        <v>1.41</v>
      </c>
      <c r="J15">
        <v>1</v>
      </c>
      <c r="K15">
        <v>500</v>
      </c>
      <c r="L15">
        <v>1000</v>
      </c>
      <c r="M15" t="s">
        <v>60</v>
      </c>
      <c r="N15" t="s">
        <v>64</v>
      </c>
      <c r="O15" t="s">
        <v>65</v>
      </c>
    </row>
    <row r="16" spans="1:15" x14ac:dyDescent="0.35">
      <c r="A16">
        <v>120507</v>
      </c>
      <c r="B16" t="s">
        <v>55</v>
      </c>
      <c r="C16" t="s">
        <v>66</v>
      </c>
      <c r="D16" t="s">
        <v>34</v>
      </c>
      <c r="E16" t="s">
        <v>67</v>
      </c>
      <c r="F16" t="s">
        <v>19</v>
      </c>
      <c r="G16" s="1">
        <v>37212</v>
      </c>
      <c r="H16" t="s">
        <v>68</v>
      </c>
      <c r="I16">
        <v>0.74</v>
      </c>
      <c r="J16">
        <v>0</v>
      </c>
      <c r="K16">
        <v>500</v>
      </c>
      <c r="L16">
        <v>5000</v>
      </c>
      <c r="M16" t="s">
        <v>69</v>
      </c>
      <c r="N16" t="s">
        <v>38</v>
      </c>
      <c r="O16" t="s">
        <v>70</v>
      </c>
    </row>
    <row r="17" spans="1:15" x14ac:dyDescent="0.35">
      <c r="A17">
        <v>118632</v>
      </c>
      <c r="B17" t="s">
        <v>71</v>
      </c>
      <c r="C17" t="s">
        <v>72</v>
      </c>
      <c r="D17" t="s">
        <v>17</v>
      </c>
      <c r="E17" t="s">
        <v>18</v>
      </c>
      <c r="F17" t="s">
        <v>19</v>
      </c>
      <c r="G17" s="1">
        <v>38207</v>
      </c>
      <c r="H17" t="s">
        <v>20</v>
      </c>
      <c r="I17">
        <v>1.51</v>
      </c>
      <c r="J17">
        <v>1</v>
      </c>
      <c r="K17">
        <v>500</v>
      </c>
      <c r="L17">
        <v>1000</v>
      </c>
      <c r="M17" t="s">
        <v>73</v>
      </c>
      <c r="N17" t="s">
        <v>22</v>
      </c>
      <c r="O17" t="s">
        <v>23</v>
      </c>
    </row>
    <row r="18" spans="1:15" x14ac:dyDescent="0.35">
      <c r="A18">
        <v>118633</v>
      </c>
      <c r="B18" t="s">
        <v>71</v>
      </c>
      <c r="C18" t="s">
        <v>74</v>
      </c>
      <c r="D18" t="s">
        <v>17</v>
      </c>
      <c r="E18" t="s">
        <v>18</v>
      </c>
      <c r="F18" t="s">
        <v>25</v>
      </c>
      <c r="G18" s="1">
        <v>41275</v>
      </c>
      <c r="H18" t="s">
        <v>20</v>
      </c>
      <c r="I18">
        <v>0.72</v>
      </c>
      <c r="J18">
        <v>1</v>
      </c>
      <c r="K18">
        <v>500</v>
      </c>
      <c r="L18">
        <v>1000</v>
      </c>
      <c r="M18" t="s">
        <v>73</v>
      </c>
      <c r="N18" t="s">
        <v>22</v>
      </c>
      <c r="O18" t="s">
        <v>23</v>
      </c>
    </row>
    <row r="19" spans="1:15" x14ac:dyDescent="0.35">
      <c r="A19">
        <v>118634</v>
      </c>
      <c r="B19" t="s">
        <v>71</v>
      </c>
      <c r="C19" t="s">
        <v>75</v>
      </c>
      <c r="D19" t="s">
        <v>17</v>
      </c>
      <c r="E19" t="s">
        <v>27</v>
      </c>
      <c r="F19" t="s">
        <v>19</v>
      </c>
      <c r="G19" s="1">
        <v>40437</v>
      </c>
      <c r="H19" t="s">
        <v>28</v>
      </c>
      <c r="I19">
        <v>1.53</v>
      </c>
      <c r="J19">
        <v>1</v>
      </c>
      <c r="K19">
        <v>500</v>
      </c>
      <c r="L19">
        <v>1000</v>
      </c>
      <c r="M19" t="s">
        <v>76</v>
      </c>
      <c r="N19" t="s">
        <v>30</v>
      </c>
      <c r="O19" t="s">
        <v>31</v>
      </c>
    </row>
    <row r="20" spans="1:15" x14ac:dyDescent="0.35">
      <c r="A20">
        <v>118635</v>
      </c>
      <c r="B20" t="s">
        <v>71</v>
      </c>
      <c r="C20" t="s">
        <v>77</v>
      </c>
      <c r="D20" t="s">
        <v>17</v>
      </c>
      <c r="E20" t="s">
        <v>78</v>
      </c>
      <c r="F20" t="s">
        <v>25</v>
      </c>
      <c r="G20" s="1">
        <v>37253</v>
      </c>
      <c r="H20" t="s">
        <v>79</v>
      </c>
      <c r="I20">
        <v>0.89</v>
      </c>
      <c r="J20">
        <v>0</v>
      </c>
      <c r="K20">
        <v>500</v>
      </c>
      <c r="L20">
        <v>100</v>
      </c>
      <c r="M20" t="s">
        <v>80</v>
      </c>
      <c r="N20" t="s">
        <v>22</v>
      </c>
      <c r="O20" t="s">
        <v>81</v>
      </c>
    </row>
    <row r="21" spans="1:15" x14ac:dyDescent="0.35">
      <c r="A21">
        <v>118636</v>
      </c>
      <c r="B21" t="s">
        <v>71</v>
      </c>
      <c r="C21" t="s">
        <v>82</v>
      </c>
      <c r="D21" t="s">
        <v>34</v>
      </c>
      <c r="E21" t="s">
        <v>35</v>
      </c>
      <c r="F21" t="s">
        <v>19</v>
      </c>
      <c r="G21" s="1">
        <v>36391</v>
      </c>
      <c r="H21" t="s">
        <v>36</v>
      </c>
      <c r="I21">
        <v>0.55000000000000004</v>
      </c>
      <c r="J21">
        <v>0</v>
      </c>
      <c r="K21">
        <v>500</v>
      </c>
      <c r="L21">
        <v>1000</v>
      </c>
      <c r="M21" t="s">
        <v>83</v>
      </c>
      <c r="N21" t="s">
        <v>38</v>
      </c>
      <c r="O21" t="s">
        <v>39</v>
      </c>
    </row>
    <row r="22" spans="1:15" x14ac:dyDescent="0.35">
      <c r="A22">
        <v>120841</v>
      </c>
      <c r="B22" t="s">
        <v>84</v>
      </c>
      <c r="C22" t="s">
        <v>85</v>
      </c>
      <c r="D22" t="s">
        <v>17</v>
      </c>
      <c r="E22" t="s">
        <v>18</v>
      </c>
      <c r="F22" t="s">
        <v>19</v>
      </c>
      <c r="G22" s="1">
        <v>38715</v>
      </c>
      <c r="H22" t="s">
        <v>20</v>
      </c>
      <c r="I22">
        <v>1.59</v>
      </c>
      <c r="J22">
        <v>1</v>
      </c>
      <c r="K22">
        <v>500</v>
      </c>
      <c r="L22">
        <v>1000</v>
      </c>
      <c r="M22" t="s">
        <v>86</v>
      </c>
      <c r="N22" t="s">
        <v>22</v>
      </c>
      <c r="O22" t="s">
        <v>23</v>
      </c>
    </row>
    <row r="23" spans="1:15" x14ac:dyDescent="0.35">
      <c r="A23">
        <v>120842</v>
      </c>
      <c r="B23" t="s">
        <v>84</v>
      </c>
      <c r="C23" t="s">
        <v>87</v>
      </c>
      <c r="D23" t="s">
        <v>17</v>
      </c>
      <c r="E23" t="s">
        <v>45</v>
      </c>
      <c r="F23" t="s">
        <v>19</v>
      </c>
      <c r="G23" s="1">
        <v>39171</v>
      </c>
      <c r="H23" t="s">
        <v>46</v>
      </c>
      <c r="I23">
        <v>1.56</v>
      </c>
      <c r="J23">
        <v>1</v>
      </c>
      <c r="K23">
        <v>500</v>
      </c>
      <c r="L23">
        <v>1000</v>
      </c>
      <c r="M23" t="s">
        <v>88</v>
      </c>
      <c r="N23" t="s">
        <v>48</v>
      </c>
      <c r="O23" t="s">
        <v>49</v>
      </c>
    </row>
    <row r="24" spans="1:15" x14ac:dyDescent="0.35">
      <c r="A24">
        <v>120843</v>
      </c>
      <c r="B24" t="s">
        <v>84</v>
      </c>
      <c r="C24" t="s">
        <v>89</v>
      </c>
      <c r="D24" t="s">
        <v>17</v>
      </c>
      <c r="E24" t="s">
        <v>90</v>
      </c>
      <c r="F24" t="s">
        <v>19</v>
      </c>
      <c r="G24" s="1">
        <v>40036</v>
      </c>
      <c r="H24" t="s">
        <v>63</v>
      </c>
      <c r="I24">
        <v>1.45</v>
      </c>
      <c r="J24">
        <v>1</v>
      </c>
      <c r="K24">
        <v>500</v>
      </c>
      <c r="L24">
        <v>1000</v>
      </c>
      <c r="M24" t="s">
        <v>88</v>
      </c>
      <c r="N24" t="s">
        <v>64</v>
      </c>
      <c r="O24" t="s">
        <v>91</v>
      </c>
    </row>
    <row r="25" spans="1:15" x14ac:dyDescent="0.35">
      <c r="A25">
        <v>120844</v>
      </c>
      <c r="B25" t="s">
        <v>84</v>
      </c>
      <c r="C25" t="s">
        <v>92</v>
      </c>
      <c r="D25" t="s">
        <v>34</v>
      </c>
      <c r="E25" t="s">
        <v>67</v>
      </c>
      <c r="F25" t="s">
        <v>19</v>
      </c>
      <c r="G25" s="1">
        <v>38049</v>
      </c>
      <c r="H25" t="s">
        <v>68</v>
      </c>
      <c r="I25">
        <v>0.6</v>
      </c>
      <c r="J25">
        <v>0</v>
      </c>
      <c r="K25">
        <v>500</v>
      </c>
      <c r="L25">
        <v>5000</v>
      </c>
      <c r="M25" t="s">
        <v>93</v>
      </c>
      <c r="N25" t="s">
        <v>38</v>
      </c>
      <c r="O25" t="s">
        <v>70</v>
      </c>
    </row>
    <row r="26" spans="1:15" x14ac:dyDescent="0.35">
      <c r="A26">
        <v>119092</v>
      </c>
      <c r="B26" t="s">
        <v>94</v>
      </c>
      <c r="C26" t="s">
        <v>95</v>
      </c>
      <c r="D26" t="s">
        <v>17</v>
      </c>
      <c r="E26" t="s">
        <v>18</v>
      </c>
      <c r="F26" t="s">
        <v>19</v>
      </c>
      <c r="G26" s="1">
        <v>40183</v>
      </c>
      <c r="H26" t="s">
        <v>20</v>
      </c>
      <c r="I26">
        <v>1.64</v>
      </c>
      <c r="J26">
        <v>1</v>
      </c>
      <c r="K26">
        <v>500</v>
      </c>
      <c r="L26">
        <v>1000</v>
      </c>
      <c r="M26" t="s">
        <v>96</v>
      </c>
      <c r="N26" t="s">
        <v>22</v>
      </c>
      <c r="O26" t="s">
        <v>23</v>
      </c>
    </row>
    <row r="27" spans="1:15" x14ac:dyDescent="0.35">
      <c r="A27">
        <v>119093</v>
      </c>
      <c r="B27" t="s">
        <v>94</v>
      </c>
      <c r="C27" t="s">
        <v>97</v>
      </c>
      <c r="D27" t="s">
        <v>17</v>
      </c>
      <c r="E27" t="s">
        <v>18</v>
      </c>
      <c r="F27" t="s">
        <v>25</v>
      </c>
      <c r="G27" s="1">
        <v>41275</v>
      </c>
      <c r="H27" t="s">
        <v>20</v>
      </c>
      <c r="I27">
        <v>0.75</v>
      </c>
      <c r="J27">
        <v>1</v>
      </c>
      <c r="K27">
        <v>500</v>
      </c>
      <c r="L27">
        <v>1000</v>
      </c>
      <c r="M27" t="s">
        <v>96</v>
      </c>
      <c r="N27" t="s">
        <v>22</v>
      </c>
      <c r="O27" t="s">
        <v>23</v>
      </c>
    </row>
    <row r="28" spans="1:15" x14ac:dyDescent="0.35">
      <c r="A28">
        <v>119094</v>
      </c>
      <c r="B28" t="s">
        <v>94</v>
      </c>
      <c r="C28" t="s">
        <v>98</v>
      </c>
      <c r="D28" t="s">
        <v>17</v>
      </c>
      <c r="E28" t="s">
        <v>45</v>
      </c>
      <c r="F28" t="s">
        <v>19</v>
      </c>
      <c r="G28" s="1">
        <v>40592</v>
      </c>
      <c r="H28" t="s">
        <v>99</v>
      </c>
      <c r="I28">
        <v>1.38</v>
      </c>
      <c r="J28">
        <v>1</v>
      </c>
      <c r="K28">
        <v>500</v>
      </c>
      <c r="L28">
        <v>1000</v>
      </c>
      <c r="M28" t="s">
        <v>100</v>
      </c>
      <c r="N28" t="s">
        <v>48</v>
      </c>
      <c r="O28" t="s">
        <v>49</v>
      </c>
    </row>
    <row r="29" spans="1:15" x14ac:dyDescent="0.35">
      <c r="A29">
        <v>119095</v>
      </c>
      <c r="B29" t="s">
        <v>94</v>
      </c>
      <c r="C29" t="s">
        <v>101</v>
      </c>
      <c r="D29" t="s">
        <v>17</v>
      </c>
      <c r="E29" t="s">
        <v>27</v>
      </c>
      <c r="F29" t="s">
        <v>19</v>
      </c>
      <c r="G29" s="1">
        <v>41607</v>
      </c>
      <c r="H29" t="s">
        <v>28</v>
      </c>
      <c r="I29">
        <v>1.38</v>
      </c>
      <c r="J29">
        <v>1</v>
      </c>
      <c r="K29">
        <v>500</v>
      </c>
      <c r="L29">
        <v>1000</v>
      </c>
      <c r="M29" t="s">
        <v>102</v>
      </c>
      <c r="N29" t="s">
        <v>30</v>
      </c>
      <c r="O29" t="s">
        <v>31</v>
      </c>
    </row>
    <row r="30" spans="1:15" x14ac:dyDescent="0.35">
      <c r="A30">
        <v>101206</v>
      </c>
      <c r="B30" t="s">
        <v>103</v>
      </c>
      <c r="C30" t="s">
        <v>104</v>
      </c>
      <c r="D30" t="s">
        <v>17</v>
      </c>
      <c r="E30" t="s">
        <v>18</v>
      </c>
      <c r="F30" t="s">
        <v>19</v>
      </c>
      <c r="G30" s="1">
        <v>37498</v>
      </c>
      <c r="H30" t="s">
        <v>20</v>
      </c>
      <c r="I30">
        <v>1.6</v>
      </c>
      <c r="J30">
        <v>1</v>
      </c>
      <c r="K30">
        <v>500</v>
      </c>
      <c r="L30">
        <v>1000</v>
      </c>
      <c r="M30" t="s">
        <v>105</v>
      </c>
      <c r="N30" t="s">
        <v>22</v>
      </c>
      <c r="O30" t="s">
        <v>23</v>
      </c>
    </row>
    <row r="31" spans="1:15" x14ac:dyDescent="0.35">
      <c r="A31">
        <v>101207</v>
      </c>
      <c r="B31" t="s">
        <v>103</v>
      </c>
      <c r="C31" t="s">
        <v>106</v>
      </c>
      <c r="D31" t="s">
        <v>17</v>
      </c>
      <c r="E31" t="s">
        <v>27</v>
      </c>
      <c r="F31" t="s">
        <v>19</v>
      </c>
      <c r="G31" s="1">
        <v>39233</v>
      </c>
      <c r="H31" t="s">
        <v>28</v>
      </c>
      <c r="I31">
        <v>1.53</v>
      </c>
      <c r="J31">
        <v>1</v>
      </c>
      <c r="K31">
        <v>500</v>
      </c>
      <c r="L31">
        <v>1000</v>
      </c>
      <c r="M31" t="s">
        <v>107</v>
      </c>
      <c r="N31" t="s">
        <v>30</v>
      </c>
      <c r="O31" t="s">
        <v>31</v>
      </c>
    </row>
    <row r="32" spans="1:15" x14ac:dyDescent="0.35">
      <c r="A32">
        <v>101208</v>
      </c>
      <c r="B32" t="s">
        <v>103</v>
      </c>
      <c r="C32" t="s">
        <v>108</v>
      </c>
      <c r="D32" t="s">
        <v>34</v>
      </c>
      <c r="E32" t="s">
        <v>67</v>
      </c>
      <c r="F32" t="s">
        <v>19</v>
      </c>
      <c r="G32" s="1">
        <v>36633</v>
      </c>
      <c r="H32" t="s">
        <v>68</v>
      </c>
      <c r="I32">
        <v>0.79</v>
      </c>
      <c r="J32">
        <v>0</v>
      </c>
      <c r="K32">
        <v>500</v>
      </c>
      <c r="L32">
        <v>5000</v>
      </c>
      <c r="M32" t="s">
        <v>109</v>
      </c>
      <c r="N32" t="s">
        <v>38</v>
      </c>
      <c r="O32" t="s">
        <v>70</v>
      </c>
    </row>
    <row r="33" spans="1:15" x14ac:dyDescent="0.35">
      <c r="A33">
        <v>102885</v>
      </c>
      <c r="B33" t="s">
        <v>110</v>
      </c>
      <c r="C33" t="s">
        <v>111</v>
      </c>
      <c r="D33" t="s">
        <v>17</v>
      </c>
      <c r="E33" t="s">
        <v>112</v>
      </c>
      <c r="F33" t="s">
        <v>19</v>
      </c>
      <c r="G33" s="1">
        <v>36591</v>
      </c>
      <c r="H33" t="s">
        <v>79</v>
      </c>
      <c r="I33">
        <v>1.57</v>
      </c>
      <c r="J33">
        <v>0</v>
      </c>
      <c r="K33">
        <v>500</v>
      </c>
      <c r="L33">
        <v>1000</v>
      </c>
      <c r="M33" t="s">
        <v>113</v>
      </c>
      <c r="N33" t="s">
        <v>22</v>
      </c>
      <c r="O33" t="s">
        <v>81</v>
      </c>
    </row>
    <row r="34" spans="1:15" x14ac:dyDescent="0.35">
      <c r="A34">
        <v>102886</v>
      </c>
      <c r="B34" t="s">
        <v>110</v>
      </c>
      <c r="C34" t="s">
        <v>114</v>
      </c>
      <c r="D34" t="s">
        <v>17</v>
      </c>
      <c r="E34" t="s">
        <v>45</v>
      </c>
      <c r="F34" t="s">
        <v>19</v>
      </c>
      <c r="G34" s="1">
        <v>38084</v>
      </c>
      <c r="H34" t="s">
        <v>46</v>
      </c>
      <c r="I34">
        <v>1.51</v>
      </c>
      <c r="J34">
        <v>1</v>
      </c>
      <c r="K34">
        <v>500</v>
      </c>
      <c r="L34">
        <v>1000</v>
      </c>
      <c r="M34" t="s">
        <v>115</v>
      </c>
      <c r="N34" t="s">
        <v>48</v>
      </c>
      <c r="O34" t="s">
        <v>49</v>
      </c>
    </row>
    <row r="35" spans="1:15" x14ac:dyDescent="0.35">
      <c r="A35">
        <v>102887</v>
      </c>
      <c r="B35" t="s">
        <v>110</v>
      </c>
      <c r="C35" t="s">
        <v>116</v>
      </c>
      <c r="D35" t="s">
        <v>17</v>
      </c>
      <c r="E35" t="s">
        <v>90</v>
      </c>
      <c r="F35" t="s">
        <v>19</v>
      </c>
      <c r="G35" s="1">
        <v>38490</v>
      </c>
      <c r="H35" t="s">
        <v>63</v>
      </c>
      <c r="I35">
        <v>1.64</v>
      </c>
      <c r="J35">
        <v>1</v>
      </c>
      <c r="K35">
        <v>500</v>
      </c>
      <c r="L35">
        <v>1000</v>
      </c>
      <c r="M35" t="s">
        <v>117</v>
      </c>
      <c r="N35" t="s">
        <v>64</v>
      </c>
      <c r="O35" t="s">
        <v>91</v>
      </c>
    </row>
    <row r="36" spans="1:15" x14ac:dyDescent="0.35">
      <c r="A36">
        <v>148567</v>
      </c>
      <c r="B36" t="s">
        <v>118</v>
      </c>
      <c r="C36" t="s">
        <v>119</v>
      </c>
      <c r="D36" t="s">
        <v>17</v>
      </c>
      <c r="E36" t="s">
        <v>18</v>
      </c>
      <c r="F36" t="s">
        <v>19</v>
      </c>
      <c r="G36" s="1">
        <v>39542</v>
      </c>
      <c r="H36" t="s">
        <v>20</v>
      </c>
      <c r="I36">
        <v>1.46</v>
      </c>
      <c r="J36">
        <v>1</v>
      </c>
      <c r="K36">
        <v>500</v>
      </c>
      <c r="L36">
        <v>1000</v>
      </c>
      <c r="M36" t="s">
        <v>120</v>
      </c>
      <c r="N36" t="s">
        <v>22</v>
      </c>
      <c r="O36" t="s">
        <v>23</v>
      </c>
    </row>
    <row r="37" spans="1:15" x14ac:dyDescent="0.35">
      <c r="A37">
        <v>148568</v>
      </c>
      <c r="B37" t="s">
        <v>118</v>
      </c>
      <c r="C37" t="s">
        <v>121</v>
      </c>
      <c r="D37" t="s">
        <v>17</v>
      </c>
      <c r="E37" t="s">
        <v>122</v>
      </c>
      <c r="F37" t="s">
        <v>19</v>
      </c>
      <c r="G37" s="1">
        <v>40368</v>
      </c>
      <c r="H37" t="s">
        <v>123</v>
      </c>
      <c r="I37">
        <v>1.52</v>
      </c>
      <c r="J37">
        <v>1</v>
      </c>
      <c r="K37">
        <v>500</v>
      </c>
      <c r="L37">
        <v>1000</v>
      </c>
      <c r="M37" t="s">
        <v>124</v>
      </c>
      <c r="N37" t="s">
        <v>64</v>
      </c>
      <c r="O37" t="s">
        <v>91</v>
      </c>
    </row>
    <row r="38" spans="1:15" x14ac:dyDescent="0.35">
      <c r="A38">
        <v>148569</v>
      </c>
      <c r="B38" t="s">
        <v>118</v>
      </c>
      <c r="C38" t="s">
        <v>125</v>
      </c>
      <c r="D38" t="s">
        <v>17</v>
      </c>
      <c r="E38" t="s">
        <v>126</v>
      </c>
      <c r="F38" t="s">
        <v>19</v>
      </c>
      <c r="G38" s="1">
        <v>42366</v>
      </c>
      <c r="H38" t="s">
        <v>63</v>
      </c>
      <c r="I38">
        <v>1.6</v>
      </c>
      <c r="J38">
        <v>1</v>
      </c>
      <c r="K38">
        <v>500</v>
      </c>
      <c r="L38">
        <v>1000</v>
      </c>
      <c r="M38" t="s">
        <v>124</v>
      </c>
      <c r="N38" t="s">
        <v>48</v>
      </c>
      <c r="O38" t="s">
        <v>127</v>
      </c>
    </row>
    <row r="39" spans="1:15" x14ac:dyDescent="0.35">
      <c r="A39">
        <v>149322</v>
      </c>
      <c r="B39" t="s">
        <v>128</v>
      </c>
      <c r="C39" t="s">
        <v>129</v>
      </c>
      <c r="D39" t="s">
        <v>17</v>
      </c>
      <c r="E39" t="s">
        <v>18</v>
      </c>
      <c r="F39" t="s">
        <v>19</v>
      </c>
      <c r="G39" s="1">
        <v>37690</v>
      </c>
      <c r="H39" t="s">
        <v>20</v>
      </c>
      <c r="I39">
        <v>1.54</v>
      </c>
      <c r="J39">
        <v>1</v>
      </c>
      <c r="K39">
        <v>500</v>
      </c>
      <c r="L39">
        <v>1000</v>
      </c>
      <c r="M39" t="s">
        <v>130</v>
      </c>
      <c r="N39" t="s">
        <v>22</v>
      </c>
      <c r="O39" t="s">
        <v>23</v>
      </c>
    </row>
    <row r="40" spans="1:15" x14ac:dyDescent="0.35">
      <c r="A40">
        <v>149323</v>
      </c>
      <c r="B40" t="s">
        <v>128</v>
      </c>
      <c r="C40" t="s">
        <v>131</v>
      </c>
      <c r="D40" t="s">
        <v>17</v>
      </c>
      <c r="E40" t="s">
        <v>45</v>
      </c>
      <c r="F40" t="s">
        <v>19</v>
      </c>
      <c r="G40" s="1">
        <v>39037</v>
      </c>
      <c r="H40" t="s">
        <v>46</v>
      </c>
      <c r="I40">
        <v>1.61</v>
      </c>
      <c r="J40">
        <v>1</v>
      </c>
      <c r="K40">
        <v>500</v>
      </c>
      <c r="L40">
        <v>1000</v>
      </c>
      <c r="M40" t="s">
        <v>132</v>
      </c>
      <c r="N40" t="s">
        <v>48</v>
      </c>
      <c r="O40" t="s">
        <v>49</v>
      </c>
    </row>
    <row r="41" spans="1:15" x14ac:dyDescent="0.35">
      <c r="A41">
        <v>149324</v>
      </c>
      <c r="B41" t="s">
        <v>128</v>
      </c>
      <c r="C41" t="s">
        <v>133</v>
      </c>
      <c r="D41" t="s">
        <v>17</v>
      </c>
      <c r="E41" t="s">
        <v>27</v>
      </c>
      <c r="F41" t="s">
        <v>19</v>
      </c>
      <c r="G41" s="1">
        <v>39247</v>
      </c>
      <c r="H41" t="s">
        <v>28</v>
      </c>
      <c r="I41">
        <v>1.52</v>
      </c>
      <c r="J41">
        <v>1</v>
      </c>
      <c r="K41">
        <v>500</v>
      </c>
      <c r="L41">
        <v>1000</v>
      </c>
      <c r="M41" t="s">
        <v>132</v>
      </c>
      <c r="N41" t="s">
        <v>30</v>
      </c>
      <c r="O41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42A7-A19B-4BB5-9386-F18537216CD3}">
  <dimension ref="A1"/>
  <sheetViews>
    <sheetView topLeftCell="A15" workbookViewId="0">
      <selection activeCell="Q5" sqref="Q5"/>
    </sheetView>
  </sheetViews>
  <sheetFormatPr defaultRowHeight="14.5" x14ac:dyDescent="0.35"/>
  <cols>
    <col min="1" max="1" width="26.54296875" style="5" customWidth="1"/>
    <col min="2" max="16384" width="8.726562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216B42-C478-4710-B460-7C33017610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</vt:lpstr>
      <vt:lpstr>Fund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Manikanta</dc:creator>
  <cp:lastModifiedBy>Kota Manikanta</cp:lastModifiedBy>
  <dcterms:created xsi:type="dcterms:W3CDTF">2026-08-03T12:57:37Z</dcterms:created>
  <dcterms:modified xsi:type="dcterms:W3CDTF">2026-08-03T16:16:20Z</dcterms:modified>
</cp:coreProperties>
</file>
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otap\Downloads\"/>
    </mc:Choice>
  </mc:AlternateContent>
  <xr:revisionPtr revIDLastSave="0" documentId="8_{ED8AD53F-3690-4F08-AE3B-455E7EE544FE}" xr6:coauthVersionLast="47" xr6:coauthVersionMax="47" xr10:uidLastSave="{00000000-0000-0000-0000-000000000000}"/>
  <bookViews>
    <workbookView xWindow="-110" yWindow="-110" windowWidth="19420" windowHeight="11500" xr2:uid="{BA572B28-24B4-45F0-B305-7BFF7E09E9C5}"/>
  </bookViews>
  <sheets>
    <sheet name="sales_dashboard2" sheetId="5" r:id="rId1"/>
    <sheet name="pivot tables" sheetId="2" r:id="rId2"/>
    <sheet name="Sales_Dashboard.xlsx" sheetId="1" r:id="rId3"/>
    <sheet name="ABOUT" sheetId="9" r:id="rId4"/>
  </sheets>
  <externalReferences>
    <externalReference r:id="rId5"/>
  </externalReferenc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</calcChain>
</file>

<file path=xl/sharedStrings.xml><?xml version="1.0" encoding="utf-8"?>
<sst xmlns="http://schemas.openxmlformats.org/spreadsheetml/2006/main" count="337" uniqueCount="37">
  <si>
    <t>Transaction_ID</t>
  </si>
  <si>
    <t>Date</t>
  </si>
  <si>
    <t>Customer</t>
  </si>
  <si>
    <t>City</t>
  </si>
  <si>
    <t>Product</t>
  </si>
  <si>
    <t>Sales</t>
  </si>
  <si>
    <t>Quantity</t>
  </si>
  <si>
    <t>Feedback_Score</t>
  </si>
  <si>
    <t>Amit</t>
  </si>
  <si>
    <t>Delhi</t>
  </si>
  <si>
    <t>Mobile</t>
  </si>
  <si>
    <t>Neha</t>
  </si>
  <si>
    <t>Laptop</t>
  </si>
  <si>
    <t>Sohan</t>
  </si>
  <si>
    <t>Ahmedabad</t>
  </si>
  <si>
    <t>Headphones</t>
  </si>
  <si>
    <t>Anjali</t>
  </si>
  <si>
    <t>Kolkata</t>
  </si>
  <si>
    <t>Tablet</t>
  </si>
  <si>
    <t>Priya</t>
  </si>
  <si>
    <t>Chennai</t>
  </si>
  <si>
    <t>Karan</t>
  </si>
  <si>
    <t>Monitor</t>
  </si>
  <si>
    <t>Vikram</t>
  </si>
  <si>
    <t>Bangalore</t>
  </si>
  <si>
    <t>Mumbai</t>
  </si>
  <si>
    <t>Hyderabad</t>
  </si>
  <si>
    <t>Sneha</t>
  </si>
  <si>
    <t>Pune</t>
  </si>
  <si>
    <t>Pooja</t>
  </si>
  <si>
    <t>Rahul</t>
  </si>
  <si>
    <t>Sum of Sales</t>
  </si>
  <si>
    <t>Row Labels</t>
  </si>
  <si>
    <t>Grand Total</t>
  </si>
  <si>
    <t>Category</t>
  </si>
  <si>
    <t>Sum of Quantity</t>
  </si>
  <si>
    <t>pivot tables'!A1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</si>
</sst>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rgb="FF0D0D0D"/>
      <name val="Consolas"/>
      <family val="3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6" fontId="18" fillId="0" borderId="0" xfId="0" applyNumberFormat="1" applyFont="1"/>
    <xf numFmtId="0" fontId="19" fillId="0" borderId="0" xfId="42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[Sales_Performance_Dashboard.xlsx]pivot tables!PivotTable3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Sales</a:t>
            </a:r>
            <a:r>
              <a:rPr lang="en-US" b="1" baseline="0">
                <a:solidFill>
                  <a:srgbClr val="FF0000"/>
                </a:solidFill>
              </a:rPr>
              <a:t> by city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tables'!$A$19:$A$27</c:f>
              <c:strCache>
                <c:ptCount val="8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'pivot tables'!$B$19:$B$27</c:f>
              <c:numCache>
                <c:formatCode>General</c:formatCode>
                <c:ptCount val="8"/>
                <c:pt idx="0">
                  <c:v>332546</c:v>
                </c:pt>
                <c:pt idx="1">
                  <c:v>227119</c:v>
                </c:pt>
                <c:pt idx="2">
                  <c:v>289887</c:v>
                </c:pt>
                <c:pt idx="3">
                  <c:v>527404</c:v>
                </c:pt>
                <c:pt idx="4">
                  <c:v>295054</c:v>
                </c:pt>
                <c:pt idx="5">
                  <c:v>300652</c:v>
                </c:pt>
                <c:pt idx="6">
                  <c:v>160836</c:v>
                </c:pt>
                <c:pt idx="7">
                  <c:v>295470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1-4577-801E-63AEA1094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926016"/>
        <c:axId val="1187934656"/>
      </c:barChart>
      <c:catAx>
        <c:axId val="118792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34656"/>
        <c:crosses val="autoZero"/>
        <c:auto val="1"/>
        <c:lblAlgn val="ctr"/>
        <c:lblOffset val="100"/>
        <c:noMultiLvlLbl val="0"/>
      </c:catAx>
      <c:valAx>
        <c:axId val="118793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[Sales_Performance_Dashboard.xlsx]pivot tables!PivotTable5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 Quantity</a:t>
            </a:r>
            <a:r>
              <a:rPr lang="en-US" b="1" baseline="0">
                <a:solidFill>
                  <a:srgbClr val="FF0000"/>
                </a:solidFill>
              </a:rPr>
              <a:t>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tables'!$A$37:$A$42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Monitor</c:v>
                </c:pt>
                <c:pt idx="4">
                  <c:v>Tablet</c:v>
                </c:pt>
              </c:strCache>
            </c:strRef>
          </c:cat>
          <c:val>
            <c:numRef>
              <c:f>'pivot tables'!$B$37:$B$42</c:f>
              <c:numCache>
                <c:formatCode>General</c:formatCode>
                <c:ptCount val="5"/>
                <c:pt idx="0">
                  <c:v>24</c:v>
                </c:pt>
                <c:pt idx="1">
                  <c:v>48</c:v>
                </c:pt>
                <c:pt idx="2">
                  <c:v>47</c:v>
                </c:pt>
                <c:pt idx="3">
                  <c:v>49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0-4A03-B296-9653C656A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932736"/>
        <c:axId val="1187930336"/>
      </c:barChart>
      <c:catAx>
        <c:axId val="118793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30336"/>
        <c:crosses val="autoZero"/>
        <c:auto val="1"/>
        <c:lblAlgn val="ctr"/>
        <c:lblOffset val="100"/>
        <c:noMultiLvlLbl val="0"/>
      </c:catAx>
      <c:valAx>
        <c:axId val="11879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[Sales_Performance_Dashboard.xlsx]pivot tables!PivotTable1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Sales</a:t>
            </a:r>
            <a:r>
              <a:rPr lang="en-US" b="1" baseline="0">
                <a:solidFill>
                  <a:srgbClr val="FF0000"/>
                </a:solidFill>
              </a:rPr>
              <a:t> by product</a:t>
            </a:r>
          </a:p>
        </c:rich>
      </c:tx>
      <c:overlay val="0"/>
      <c:spPr>
        <a:noFill/>
        <a:ln>
          <a:solidFill>
            <a:srgbClr val="FF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Monitor</c:v>
                </c:pt>
                <c:pt idx="4">
                  <c:v>Tablet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29467</c:v>
                </c:pt>
                <c:pt idx="1">
                  <c:v>1215656</c:v>
                </c:pt>
                <c:pt idx="2">
                  <c:v>630492</c:v>
                </c:pt>
                <c:pt idx="3">
                  <c:v>274531</c:v>
                </c:pt>
                <c:pt idx="4">
                  <c:v>278822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1-4A94-8A31-1102B3CE2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342176"/>
        <c:axId val="974349856"/>
      </c:barChart>
      <c:catAx>
        <c:axId val="97434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349856"/>
        <c:crosses val="autoZero"/>
        <c:auto val="1"/>
        <c:lblAlgn val="ctr"/>
        <c:lblOffset val="100"/>
        <c:noMultiLvlLbl val="0"/>
      </c:catAx>
      <c:valAx>
        <c:axId val="9743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34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[Sales_Performance_Dashboard.xlsx]pivot tables!PivotTable1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Monitor</c:v>
                </c:pt>
                <c:pt idx="4">
                  <c:v>Tablet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29467</c:v>
                </c:pt>
                <c:pt idx="1">
                  <c:v>1215656</c:v>
                </c:pt>
                <c:pt idx="2">
                  <c:v>630492</c:v>
                </c:pt>
                <c:pt idx="3">
                  <c:v>274531</c:v>
                </c:pt>
                <c:pt idx="4">
                  <c:v>278822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4-47CB-A3C3-59B6BE397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342176"/>
        <c:axId val="974349856"/>
      </c:barChart>
      <c:catAx>
        <c:axId val="97434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349856"/>
        <c:crosses val="autoZero"/>
        <c:auto val="1"/>
        <c:lblAlgn val="ctr"/>
        <c:lblOffset val="100"/>
        <c:noMultiLvlLbl val="0"/>
      </c:catAx>
      <c:valAx>
        <c:axId val="9743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34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[Sales_Performance_Dashboard.xlsx]pivot 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tables'!$A$19:$A$27</c:f>
              <c:strCache>
                <c:ptCount val="8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'pivot tables'!$B$19:$B$27</c:f>
              <c:numCache>
                <c:formatCode>General</c:formatCode>
                <c:ptCount val="8"/>
                <c:pt idx="0">
                  <c:v>332546</c:v>
                </c:pt>
                <c:pt idx="1">
                  <c:v>227119</c:v>
                </c:pt>
                <c:pt idx="2">
                  <c:v>289887</c:v>
                </c:pt>
                <c:pt idx="3">
                  <c:v>527404</c:v>
                </c:pt>
                <c:pt idx="4">
                  <c:v>295054</c:v>
                </c:pt>
                <c:pt idx="5">
                  <c:v>300652</c:v>
                </c:pt>
                <c:pt idx="6">
                  <c:v>160836</c:v>
                </c:pt>
                <c:pt idx="7">
                  <c:v>295470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6-4954-BAED-D6845148F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926016"/>
        <c:axId val="1187934656"/>
      </c:barChart>
      <c:catAx>
        <c:axId val="118792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34656"/>
        <c:crosses val="autoZero"/>
        <c:auto val="1"/>
        <c:lblAlgn val="ctr"/>
        <c:lblOffset val="100"/>
        <c:noMultiLvlLbl val="0"/>
      </c:catAx>
      <c:valAx>
        <c:axId val="118793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[Sales_Performance_Dashboard.xlsx]pivot 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Quantity</a:t>
            </a:r>
            <a:r>
              <a:rPr lang="en-US" baseline="0"/>
              <a:t>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tables'!$A$37:$A$42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Monitor</c:v>
                </c:pt>
                <c:pt idx="4">
                  <c:v>Tablet</c:v>
                </c:pt>
              </c:strCache>
            </c:strRef>
          </c:cat>
          <c:val>
            <c:numRef>
              <c:f>'pivot tables'!$B$37:$B$42</c:f>
              <c:numCache>
                <c:formatCode>General</c:formatCode>
                <c:ptCount val="5"/>
                <c:pt idx="0">
                  <c:v>24</c:v>
                </c:pt>
                <c:pt idx="1">
                  <c:v>48</c:v>
                </c:pt>
                <c:pt idx="2">
                  <c:v>47</c:v>
                </c:pt>
                <c:pt idx="3">
                  <c:v>49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E-49CB-979E-9142751D4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932736"/>
        <c:axId val="1187930336"/>
      </c:barChart>
      <c:catAx>
        <c:axId val="118793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30336"/>
        <c:crosses val="autoZero"/>
        <c:auto val="1"/>
        <c:lblAlgn val="ctr"/>
        <c:lblOffset val="100"/>
        <c:noMultiLvlLbl val="0"/>
      </c:catAx>
      <c:valAx>
        <c:axId val="11879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1.xml"/><Relationship Id="rId7" Type="http://schemas.openxmlformats.org/officeDocument/2006/relationships/image" Target="../media/image2.svg"/><Relationship Id="rId2" Type="http://schemas.openxmlformats.org/officeDocument/2006/relationships/hyperlink" Target="#ABOUT!A1"/><Relationship Id="rId1" Type="http://schemas.openxmlformats.org/officeDocument/2006/relationships/hyperlink" Target="#sales_dashboard2!A1"/><Relationship Id="rId6" Type="http://schemas.openxmlformats.org/officeDocument/2006/relationships/image" Target="../media/image1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ABOUT!A1"/><Relationship Id="rId1" Type="http://schemas.openxmlformats.org/officeDocument/2006/relationships/hyperlink" Target="#sales_dashboard2!A1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66452</xdr:colOff>
      <xdr:row>0</xdr:row>
      <xdr:rowOff>44302</xdr:rowOff>
    </xdr:from>
    <xdr:to>
      <xdr:col>22</xdr:col>
      <xdr:colOff>95989</xdr:colOff>
      <xdr:row>27</xdr:row>
      <xdr:rowOff>88603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D7F5B10-BBF1-8D21-6F55-BD574CBF15C2}"/>
            </a:ext>
          </a:extLst>
        </xdr:cNvPr>
        <xdr:cNvSpPr/>
      </xdr:nvSpPr>
      <xdr:spPr>
        <a:xfrm>
          <a:off x="66452" y="44302"/>
          <a:ext cx="13512211" cy="5028313"/>
        </a:xfrm>
        <a:prstGeom prst="roundRect">
          <a:avLst>
            <a:gd name="adj" fmla="val 6094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</xdr:colOff>
      <xdr:row>0</xdr:row>
      <xdr:rowOff>132908</xdr:rowOff>
    </xdr:from>
    <xdr:to>
      <xdr:col>22</xdr:col>
      <xdr:colOff>4729</xdr:colOff>
      <xdr:row>26</xdr:row>
      <xdr:rowOff>162443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3204EF4-A599-49B7-B85B-4DD77C4219F0}"/>
            </a:ext>
          </a:extLst>
        </xdr:cNvPr>
        <xdr:cNvSpPr/>
      </xdr:nvSpPr>
      <xdr:spPr>
        <a:xfrm>
          <a:off x="1838549" y="132908"/>
          <a:ext cx="11648854" cy="4828954"/>
        </a:xfrm>
        <a:prstGeom prst="roundRect">
          <a:avLst>
            <a:gd name="adj" fmla="val 6094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3</xdr:col>
      <xdr:colOff>108098</xdr:colOff>
      <xdr:row>6</xdr:row>
      <xdr:rowOff>41648</xdr:rowOff>
    </xdr:from>
    <xdr:to>
      <xdr:col>5</xdr:col>
      <xdr:colOff>403447</xdr:colOff>
      <xdr:row>10</xdr:row>
      <xdr:rowOff>7386</xdr:rowOff>
    </xdr:to>
    <xdr:sp macro="" textlink="">
      <xdr:nvSpPr>
        <xdr:cNvPr id="8" name="Rectangle: Single Corner Rounded 7">
          <a:extLst>
            <a:ext uri="{FF2B5EF4-FFF2-40B4-BE49-F238E27FC236}">
              <a16:creationId xmlns:a16="http://schemas.microsoft.com/office/drawing/2014/main" id="{F321034E-488D-4C90-A8B6-ABDABEAF1681}"/>
            </a:ext>
          </a:extLst>
        </xdr:cNvPr>
        <xdr:cNvSpPr/>
      </xdr:nvSpPr>
      <xdr:spPr>
        <a:xfrm>
          <a:off x="1946645" y="1149206"/>
          <a:ext cx="1521046" cy="704110"/>
        </a:xfrm>
        <a:prstGeom prst="round1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TOTAL</a:t>
          </a:r>
          <a:r>
            <a:rPr lang="en-IN" sz="1800" b="1" baseline="0"/>
            <a:t> SALES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 baseline="0"/>
            <a:t>     </a:t>
          </a:r>
          <a:r>
            <a:rPr lang="en-IN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₹2,428,968</a:t>
          </a:r>
          <a:endParaRPr lang="en-IN" sz="1600" b="1">
            <a:effectLst/>
          </a:endParaRPr>
        </a:p>
        <a:p>
          <a:pPr algn="l"/>
          <a:endParaRPr lang="en-IN" sz="1800" b="1" baseline="0"/>
        </a:p>
        <a:p>
          <a:pPr algn="l"/>
          <a:r>
            <a:rPr lang="en-IN" sz="1800" b="1"/>
            <a:t>  </a:t>
          </a:r>
        </a:p>
      </xdr:txBody>
    </xdr:sp>
    <xdr:clientData/>
  </xdr:twoCellAnchor>
  <xdr:twoCellAnchor>
    <xdr:from>
      <xdr:col>3</xdr:col>
      <xdr:colOff>118141</xdr:colOff>
      <xdr:row>11</xdr:row>
      <xdr:rowOff>66453</xdr:rowOff>
    </xdr:from>
    <xdr:to>
      <xdr:col>5</xdr:col>
      <xdr:colOff>413490</xdr:colOff>
      <xdr:row>15</xdr:row>
      <xdr:rowOff>22151</xdr:rowOff>
    </xdr:to>
    <xdr:sp macro="" textlink="">
      <xdr:nvSpPr>
        <xdr:cNvPr id="9" name="Rectangle: Single Corner Rounded 8">
          <a:extLst>
            <a:ext uri="{FF2B5EF4-FFF2-40B4-BE49-F238E27FC236}">
              <a16:creationId xmlns:a16="http://schemas.microsoft.com/office/drawing/2014/main" id="{C3CC1754-CB9A-46CC-B52C-784E2AA8E60D}"/>
            </a:ext>
          </a:extLst>
        </xdr:cNvPr>
        <xdr:cNvSpPr/>
      </xdr:nvSpPr>
      <xdr:spPr>
        <a:xfrm>
          <a:off x="1956688" y="2096976"/>
          <a:ext cx="1521046" cy="694070"/>
        </a:xfrm>
        <a:prstGeom prst="round1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 b="1" baseline="0"/>
            <a:t>AVG  SALES</a:t>
          </a:r>
        </a:p>
        <a:p>
          <a:pPr algn="l"/>
          <a:r>
            <a:rPr lang="en-IN" sz="1800" b="1" baseline="0"/>
            <a:t>    </a:t>
          </a:r>
          <a:r>
            <a:rPr lang="en-IN" sz="1800" b="1"/>
            <a:t>₹</a:t>
          </a:r>
          <a:r>
            <a:rPr lang="en-IN" sz="1600" b="1"/>
            <a:t>2</a:t>
          </a:r>
          <a:r>
            <a:rPr lang="en-IN" sz="1800" b="1"/>
            <a:t>4,289.68</a:t>
          </a:r>
          <a:endParaRPr lang="en-IN" sz="1800" b="1" baseline="0"/>
        </a:p>
      </xdr:txBody>
    </xdr:sp>
    <xdr:clientData/>
  </xdr:twoCellAnchor>
  <xdr:twoCellAnchor>
    <xdr:from>
      <xdr:col>3</xdr:col>
      <xdr:colOff>110757</xdr:colOff>
      <xdr:row>16</xdr:row>
      <xdr:rowOff>103374</xdr:rowOff>
    </xdr:from>
    <xdr:to>
      <xdr:col>5</xdr:col>
      <xdr:colOff>406106</xdr:colOff>
      <xdr:row>20</xdr:row>
      <xdr:rowOff>51688</xdr:rowOff>
    </xdr:to>
    <xdr:sp macro="" textlink="">
      <xdr:nvSpPr>
        <xdr:cNvPr id="10" name="Rectangle: Single Corner Rounded 9">
          <a:extLst>
            <a:ext uri="{FF2B5EF4-FFF2-40B4-BE49-F238E27FC236}">
              <a16:creationId xmlns:a16="http://schemas.microsoft.com/office/drawing/2014/main" id="{8427AC13-F677-4C50-96EB-ECD94F2B4F79}"/>
            </a:ext>
          </a:extLst>
        </xdr:cNvPr>
        <xdr:cNvSpPr/>
      </xdr:nvSpPr>
      <xdr:spPr>
        <a:xfrm>
          <a:off x="1949304" y="3056862"/>
          <a:ext cx="1521046" cy="686686"/>
        </a:xfrm>
        <a:prstGeom prst="round1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TOTAL </a:t>
          </a:r>
          <a:r>
            <a:rPr lang="en-IN" sz="1400" b="1"/>
            <a:t>QUANTITY</a:t>
          </a:r>
          <a:br>
            <a:rPr lang="en-IN" sz="1800"/>
          </a:br>
          <a:r>
            <a:rPr lang="en-IN" sz="2000" b="1">
              <a:solidFill>
                <a:schemeClr val="dk1"/>
              </a:solidFill>
              <a:latin typeface="+mn-lt"/>
              <a:ea typeface="+mn-ea"/>
              <a:cs typeface="+mn-cs"/>
            </a:rPr>
            <a:t>200</a:t>
          </a:r>
          <a:endParaRPr lang="en-IN" sz="2000" b="1" baseline="0"/>
        </a:p>
        <a:p>
          <a:pPr algn="l"/>
          <a:endParaRPr lang="en-IN" sz="1800" b="1"/>
        </a:p>
      </xdr:txBody>
    </xdr:sp>
    <xdr:clientData/>
  </xdr:twoCellAnchor>
  <xdr:twoCellAnchor>
    <xdr:from>
      <xdr:col>3</xdr:col>
      <xdr:colOff>140294</xdr:colOff>
      <xdr:row>21</xdr:row>
      <xdr:rowOff>132909</xdr:rowOff>
    </xdr:from>
    <xdr:to>
      <xdr:col>5</xdr:col>
      <xdr:colOff>435643</xdr:colOff>
      <xdr:row>25</xdr:row>
      <xdr:rowOff>95989</xdr:rowOff>
    </xdr:to>
    <xdr:sp macro="" textlink="">
      <xdr:nvSpPr>
        <xdr:cNvPr id="11" name="Rectangle: Single Corner Rounded 10">
          <a:extLst>
            <a:ext uri="{FF2B5EF4-FFF2-40B4-BE49-F238E27FC236}">
              <a16:creationId xmlns:a16="http://schemas.microsoft.com/office/drawing/2014/main" id="{457D87AE-4AD9-4E6E-B505-D0DAF10C34D8}"/>
            </a:ext>
          </a:extLst>
        </xdr:cNvPr>
        <xdr:cNvSpPr/>
      </xdr:nvSpPr>
      <xdr:spPr>
        <a:xfrm>
          <a:off x="1978841" y="4009362"/>
          <a:ext cx="1521046" cy="701453"/>
        </a:xfrm>
        <a:prstGeom prst="round1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AVG FEEDBACK</a:t>
          </a:r>
          <a:r>
            <a:rPr lang="en-IN" sz="1200" b="1" baseline="0"/>
            <a:t> </a:t>
          </a:r>
          <a:r>
            <a:rPr lang="en-IN" sz="1200" b="1"/>
            <a:t>SCORE</a:t>
          </a:r>
          <a:br>
            <a:rPr lang="en-IN" sz="1200" b="1"/>
          </a:br>
          <a:r>
            <a:rPr lang="en-IN" sz="1400" b="1">
              <a:solidFill>
                <a:schemeClr val="dk1"/>
              </a:solidFill>
              <a:latin typeface="+mn-lt"/>
              <a:ea typeface="+mn-ea"/>
              <a:cs typeface="+mn-cs"/>
            </a:rPr>
            <a:t>3.955</a:t>
          </a:r>
          <a:endParaRPr lang="en-IN" sz="1400" b="1" baseline="0"/>
        </a:p>
        <a:p>
          <a:pPr algn="l"/>
          <a:endParaRPr lang="en-IN" sz="1800" b="1"/>
        </a:p>
      </xdr:txBody>
    </xdr:sp>
    <xdr:clientData/>
  </xdr:twoCellAnchor>
  <xdr:twoCellAnchor>
    <xdr:from>
      <xdr:col>0</xdr:col>
      <xdr:colOff>206744</xdr:colOff>
      <xdr:row>8</xdr:row>
      <xdr:rowOff>44302</xdr:rowOff>
    </xdr:from>
    <xdr:to>
      <xdr:col>2</xdr:col>
      <xdr:colOff>472558</xdr:colOff>
      <xdr:row>10</xdr:row>
      <xdr:rowOff>88604</xdr:rowOff>
    </xdr:to>
    <xdr:sp macro="" textlink="">
      <xdr:nvSpPr>
        <xdr:cNvPr id="12" name="Rectangle: Rounded Corner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08971-A233-8D54-A49E-D7252711F040}"/>
            </a:ext>
          </a:extLst>
        </xdr:cNvPr>
        <xdr:cNvSpPr/>
      </xdr:nvSpPr>
      <xdr:spPr>
        <a:xfrm>
          <a:off x="206744" y="1521046"/>
          <a:ext cx="1491512" cy="413488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bg1"/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206741</xdr:colOff>
      <xdr:row>11</xdr:row>
      <xdr:rowOff>44300</xdr:rowOff>
    </xdr:from>
    <xdr:to>
      <xdr:col>2</xdr:col>
      <xdr:colOff>472555</xdr:colOff>
      <xdr:row>13</xdr:row>
      <xdr:rowOff>88602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455DE281-CD31-4AC6-A043-7E6B2D2C8012}"/>
            </a:ext>
          </a:extLst>
        </xdr:cNvPr>
        <xdr:cNvSpPr/>
      </xdr:nvSpPr>
      <xdr:spPr>
        <a:xfrm>
          <a:off x="206741" y="2074823"/>
          <a:ext cx="1491512" cy="413488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PRODUCTS</a:t>
          </a:r>
        </a:p>
      </xdr:txBody>
    </xdr:sp>
    <xdr:clientData/>
  </xdr:twoCellAnchor>
  <xdr:twoCellAnchor>
    <xdr:from>
      <xdr:col>0</xdr:col>
      <xdr:colOff>211468</xdr:colOff>
      <xdr:row>14</xdr:row>
      <xdr:rowOff>63796</xdr:rowOff>
    </xdr:from>
    <xdr:to>
      <xdr:col>2</xdr:col>
      <xdr:colOff>477282</xdr:colOff>
      <xdr:row>16</xdr:row>
      <xdr:rowOff>108098</xdr:rowOff>
    </xdr:to>
    <xdr:sp macro="" textlink="">
      <xdr:nvSpPr>
        <xdr:cNvPr id="16" name="Rectangle: Rounded Corners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964DCE-8532-4DC1-82DF-EC8A6AE419EF}"/>
            </a:ext>
          </a:extLst>
        </xdr:cNvPr>
        <xdr:cNvSpPr/>
      </xdr:nvSpPr>
      <xdr:spPr>
        <a:xfrm>
          <a:off x="211468" y="2648098"/>
          <a:ext cx="1491512" cy="413488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ABOUT</a:t>
          </a:r>
        </a:p>
      </xdr:txBody>
    </xdr:sp>
    <xdr:clientData/>
  </xdr:twoCellAnchor>
  <xdr:twoCellAnchor>
    <xdr:from>
      <xdr:col>5</xdr:col>
      <xdr:colOff>553780</xdr:colOff>
      <xdr:row>1</xdr:row>
      <xdr:rowOff>66452</xdr:rowOff>
    </xdr:from>
    <xdr:to>
      <xdr:col>16</xdr:col>
      <xdr:colOff>162443</xdr:colOff>
      <xdr:row>12</xdr:row>
      <xdr:rowOff>162442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554947-3205-4DDA-B07B-620741893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302733</xdr:colOff>
      <xdr:row>1</xdr:row>
      <xdr:rowOff>66455</xdr:rowOff>
    </xdr:from>
    <xdr:to>
      <xdr:col>21</xdr:col>
      <xdr:colOff>502091</xdr:colOff>
      <xdr:row>26</xdr:row>
      <xdr:rowOff>36919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24F894C-8233-444A-8A4B-390782FB2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605466</xdr:colOff>
      <xdr:row>15</xdr:row>
      <xdr:rowOff>73838</xdr:rowOff>
    </xdr:from>
    <xdr:to>
      <xdr:col>16</xdr:col>
      <xdr:colOff>191977</xdr:colOff>
      <xdr:row>26</xdr:row>
      <xdr:rowOff>88604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36B7BFC-44A9-4582-AA6D-9BBD65713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575930</xdr:colOff>
      <xdr:row>12</xdr:row>
      <xdr:rowOff>177209</xdr:rowOff>
    </xdr:from>
    <xdr:to>
      <xdr:col>16</xdr:col>
      <xdr:colOff>118140</xdr:colOff>
      <xdr:row>15</xdr:row>
      <xdr:rowOff>132907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A949FE1-CCB5-C226-6FFF-67CEC1E7B47A}"/>
            </a:ext>
          </a:extLst>
        </xdr:cNvPr>
        <xdr:cNvSpPr/>
      </xdr:nvSpPr>
      <xdr:spPr>
        <a:xfrm>
          <a:off x="3640174" y="2392325"/>
          <a:ext cx="6283547" cy="509477"/>
        </a:xfrm>
        <a:prstGeom prst="roundRect">
          <a:avLst/>
        </a:prstGeom>
        <a:solidFill>
          <a:srgbClr val="FFC00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>
              <a:solidFill>
                <a:schemeClr val="tx1">
                  <a:lumMod val="95000"/>
                  <a:lumOff val="5000"/>
                </a:schemeClr>
              </a:solidFill>
            </a:rPr>
            <a:t>SALES PERFORMANCE DASHBOARD</a:t>
          </a:r>
        </a:p>
      </xdr:txBody>
    </xdr:sp>
    <xdr:clientData/>
  </xdr:twoCellAnchor>
  <xdr:twoCellAnchor>
    <xdr:from>
      <xdr:col>3</xdr:col>
      <xdr:colOff>155058</xdr:colOff>
      <xdr:row>1</xdr:row>
      <xdr:rowOff>125522</xdr:rowOff>
    </xdr:from>
    <xdr:to>
      <xdr:col>5</xdr:col>
      <xdr:colOff>457791</xdr:colOff>
      <xdr:row>5</xdr:row>
      <xdr:rowOff>103371</xdr:rowOff>
    </xdr:to>
    <xdr:sp macro="" textlink="">
      <xdr:nvSpPr>
        <xdr:cNvPr id="26" name="Rectangle: Single Corner Rounded 25">
          <a:extLst>
            <a:ext uri="{FF2B5EF4-FFF2-40B4-BE49-F238E27FC236}">
              <a16:creationId xmlns:a16="http://schemas.microsoft.com/office/drawing/2014/main" id="{61193921-AAF1-3B4A-1CEA-E7BAB997FFBB}"/>
            </a:ext>
          </a:extLst>
        </xdr:cNvPr>
        <xdr:cNvSpPr/>
      </xdr:nvSpPr>
      <xdr:spPr>
        <a:xfrm>
          <a:off x="1993605" y="310115"/>
          <a:ext cx="1528430" cy="716221"/>
        </a:xfrm>
        <a:prstGeom prst="round1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73838</xdr:colOff>
      <xdr:row>2</xdr:row>
      <xdr:rowOff>29537</xdr:rowOff>
    </xdr:from>
    <xdr:to>
      <xdr:col>3</xdr:col>
      <xdr:colOff>531627</xdr:colOff>
      <xdr:row>4</xdr:row>
      <xdr:rowOff>118140</xdr:rowOff>
    </xdr:to>
    <xdr:pic>
      <xdr:nvPicPr>
        <xdr:cNvPr id="24" name="Graphic 23" descr="Bar chart with solid fill">
          <a:extLst>
            <a:ext uri="{FF2B5EF4-FFF2-40B4-BE49-F238E27FC236}">
              <a16:creationId xmlns:a16="http://schemas.microsoft.com/office/drawing/2014/main" id="{6BAEA06C-7CA4-565F-A3F2-029E522DF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912385" y="398723"/>
          <a:ext cx="457789" cy="457789"/>
        </a:xfrm>
        <a:prstGeom prst="rect">
          <a:avLst/>
        </a:prstGeom>
      </xdr:spPr>
    </xdr:pic>
    <xdr:clientData/>
  </xdr:twoCellAnchor>
  <xdr:twoCellAnchor editAs="oneCell">
    <xdr:from>
      <xdr:col>3</xdr:col>
      <xdr:colOff>428258</xdr:colOff>
      <xdr:row>2</xdr:row>
      <xdr:rowOff>73837</xdr:rowOff>
    </xdr:from>
    <xdr:to>
      <xdr:col>5</xdr:col>
      <xdr:colOff>450408</xdr:colOff>
      <xdr:row>4</xdr:row>
      <xdr:rowOff>184592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0002CE3-676B-1FB2-0D57-019A25137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66805" y="443023"/>
          <a:ext cx="1247847" cy="47994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0</xdr:row>
      <xdr:rowOff>165100</xdr:rowOff>
    </xdr:from>
    <xdr:to>
      <xdr:col>11</xdr:col>
      <xdr:colOff>584200</xdr:colOff>
      <xdr:row>12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A8F217-3F9D-4DAE-D9D7-8AE0D3FE0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31750</xdr:colOff>
      <xdr:row>16</xdr:row>
      <xdr:rowOff>38100</xdr:rowOff>
    </xdr:from>
    <xdr:to>
      <xdr:col>12</xdr:col>
      <xdr:colOff>15875</xdr:colOff>
      <xdr:row>29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D4F8AA-E4B3-0A68-B847-858DC7A8E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552450</xdr:colOff>
      <xdr:row>34</xdr:row>
      <xdr:rowOff>6350</xdr:rowOff>
    </xdr:from>
    <xdr:to>
      <xdr:col>12</xdr:col>
      <xdr:colOff>19050</xdr:colOff>
      <xdr:row>47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0D1E85-10A5-F6B0-8911-D8012068C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66452</xdr:colOff>
      <xdr:row>0</xdr:row>
      <xdr:rowOff>44302</xdr:rowOff>
    </xdr:from>
    <xdr:to>
      <xdr:col>22</xdr:col>
      <xdr:colOff>95989</xdr:colOff>
      <xdr:row>27</xdr:row>
      <xdr:rowOff>88603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7AED9E0-8FC9-40F1-A314-FDE3DD2F448D}"/>
            </a:ext>
          </a:extLst>
        </xdr:cNvPr>
        <xdr:cNvSpPr/>
      </xdr:nvSpPr>
      <xdr:spPr>
        <a:xfrm>
          <a:off x="66452" y="44302"/>
          <a:ext cx="13440737" cy="5016351"/>
        </a:xfrm>
        <a:prstGeom prst="roundRect">
          <a:avLst>
            <a:gd name="adj" fmla="val 6094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</xdr:colOff>
      <xdr:row>0</xdr:row>
      <xdr:rowOff>140292</xdr:rowOff>
    </xdr:from>
    <xdr:to>
      <xdr:col>22</xdr:col>
      <xdr:colOff>4729</xdr:colOff>
      <xdr:row>26</xdr:row>
      <xdr:rowOff>169827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6EAAFA4-BD87-47B7-AE88-277B6856CBB4}"/>
            </a:ext>
          </a:extLst>
        </xdr:cNvPr>
        <xdr:cNvSpPr/>
      </xdr:nvSpPr>
      <xdr:spPr>
        <a:xfrm>
          <a:off x="1838549" y="140292"/>
          <a:ext cx="11648854" cy="4828954"/>
        </a:xfrm>
        <a:prstGeom prst="roundRect">
          <a:avLst>
            <a:gd name="adj" fmla="val 6094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chemeClr val="tx1">
                  <a:lumMod val="95000"/>
                  <a:lumOff val="5000"/>
                </a:schemeClr>
              </a:solidFill>
              <a:latin typeface="Arial Black" panose="020B0A04020102020204" pitchFamily="34" charset="0"/>
            </a:rPr>
            <a:t>           </a:t>
          </a:r>
          <a:r>
            <a:rPr lang="en-IN" sz="1600" b="0">
              <a:solidFill>
                <a:schemeClr val="tx1">
                  <a:lumMod val="95000"/>
                  <a:lumOff val="5000"/>
                </a:schemeClr>
              </a:solidFill>
              <a:latin typeface="Arial Black" panose="020B0A04020102020204" pitchFamily="34" charset="0"/>
            </a:rPr>
            <a:t>ABOUT</a:t>
          </a:r>
        </a:p>
      </xdr:txBody>
    </xdr:sp>
    <xdr:clientData/>
  </xdr:twoCellAnchor>
  <xdr:twoCellAnchor>
    <xdr:from>
      <xdr:col>0</xdr:col>
      <xdr:colOff>221512</xdr:colOff>
      <xdr:row>8</xdr:row>
      <xdr:rowOff>36919</xdr:rowOff>
    </xdr:from>
    <xdr:to>
      <xdr:col>2</xdr:col>
      <xdr:colOff>487326</xdr:colOff>
      <xdr:row>10</xdr:row>
      <xdr:rowOff>81221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54D771-39F9-4BD8-BCFA-8D765572BF9A}"/>
            </a:ext>
          </a:extLst>
        </xdr:cNvPr>
        <xdr:cNvSpPr/>
      </xdr:nvSpPr>
      <xdr:spPr>
        <a:xfrm>
          <a:off x="221512" y="1513663"/>
          <a:ext cx="1491512" cy="413488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bg1"/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214125</xdr:colOff>
      <xdr:row>11</xdr:row>
      <xdr:rowOff>51684</xdr:rowOff>
    </xdr:from>
    <xdr:to>
      <xdr:col>2</xdr:col>
      <xdr:colOff>479939</xdr:colOff>
      <xdr:row>13</xdr:row>
      <xdr:rowOff>95986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67983F6-A644-4505-B90C-1C7A66BC6167}"/>
            </a:ext>
          </a:extLst>
        </xdr:cNvPr>
        <xdr:cNvSpPr/>
      </xdr:nvSpPr>
      <xdr:spPr>
        <a:xfrm>
          <a:off x="214125" y="2082207"/>
          <a:ext cx="1491512" cy="413488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PRODUCTS</a:t>
          </a:r>
        </a:p>
      </xdr:txBody>
    </xdr:sp>
    <xdr:clientData/>
  </xdr:twoCellAnchor>
  <xdr:twoCellAnchor>
    <xdr:from>
      <xdr:col>0</xdr:col>
      <xdr:colOff>204086</xdr:colOff>
      <xdr:row>14</xdr:row>
      <xdr:rowOff>71180</xdr:rowOff>
    </xdr:from>
    <xdr:to>
      <xdr:col>2</xdr:col>
      <xdr:colOff>469900</xdr:colOff>
      <xdr:row>16</xdr:row>
      <xdr:rowOff>115482</xdr:rowOff>
    </xdr:to>
    <xdr:sp macro="" textlink="">
      <xdr:nvSpPr>
        <xdr:cNvPr id="11" name="Rectangle: Rounded Corner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15FE4E-5C2E-451C-A41B-273485533F00}"/>
            </a:ext>
          </a:extLst>
        </xdr:cNvPr>
        <xdr:cNvSpPr/>
      </xdr:nvSpPr>
      <xdr:spPr>
        <a:xfrm>
          <a:off x="204086" y="2655482"/>
          <a:ext cx="1491512" cy="413488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ABOUT</a:t>
          </a:r>
        </a:p>
      </xdr:txBody>
    </xdr:sp>
    <xdr:clientData/>
  </xdr:twoCellAnchor>
  <xdr:twoCellAnchor>
    <xdr:from>
      <xdr:col>7</xdr:col>
      <xdr:colOff>155057</xdr:colOff>
      <xdr:row>1</xdr:row>
      <xdr:rowOff>36919</xdr:rowOff>
    </xdr:from>
    <xdr:to>
      <xdr:col>17</xdr:col>
      <xdr:colOff>310116</xdr:colOff>
      <xdr:row>3</xdr:row>
      <xdr:rowOff>177210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D26E61A7-FEF2-430A-BFF6-26D67DB67529}"/>
            </a:ext>
          </a:extLst>
        </xdr:cNvPr>
        <xdr:cNvSpPr/>
      </xdr:nvSpPr>
      <xdr:spPr>
        <a:xfrm>
          <a:off x="4444999" y="221512"/>
          <a:ext cx="6283547" cy="509477"/>
        </a:xfrm>
        <a:prstGeom prst="roundRect">
          <a:avLst/>
        </a:prstGeom>
        <a:solidFill>
          <a:srgbClr val="FFC00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>
              <a:solidFill>
                <a:schemeClr val="tx1">
                  <a:lumMod val="95000"/>
                  <a:lumOff val="5000"/>
                </a:schemeClr>
              </a:solidFill>
            </a:rPr>
            <a:t>SALES PERFORMANCE DASHBOARD</a:t>
          </a:r>
        </a:p>
      </xdr:txBody>
    </xdr:sp>
    <xdr:clientData/>
  </xdr:twoCellAnchor>
  <xdr:twoCellAnchor>
    <xdr:from>
      <xdr:col>3</xdr:col>
      <xdr:colOff>155058</xdr:colOff>
      <xdr:row>1</xdr:row>
      <xdr:rowOff>125522</xdr:rowOff>
    </xdr:from>
    <xdr:to>
      <xdr:col>5</xdr:col>
      <xdr:colOff>457791</xdr:colOff>
      <xdr:row>5</xdr:row>
      <xdr:rowOff>103371</xdr:rowOff>
    </xdr:to>
    <xdr:sp macro="" textlink="">
      <xdr:nvSpPr>
        <xdr:cNvPr id="16" name="Rectangle: Single Corner Rounded 15">
          <a:extLst>
            <a:ext uri="{FF2B5EF4-FFF2-40B4-BE49-F238E27FC236}">
              <a16:creationId xmlns:a16="http://schemas.microsoft.com/office/drawing/2014/main" id="{76A14349-4145-48FD-8C83-0304190E2DD7}"/>
            </a:ext>
          </a:extLst>
        </xdr:cNvPr>
        <xdr:cNvSpPr/>
      </xdr:nvSpPr>
      <xdr:spPr>
        <a:xfrm>
          <a:off x="1983858" y="309672"/>
          <a:ext cx="1521933" cy="714449"/>
        </a:xfrm>
        <a:prstGeom prst="round1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155059</xdr:colOff>
      <xdr:row>0</xdr:row>
      <xdr:rowOff>169828</xdr:rowOff>
    </xdr:from>
    <xdr:to>
      <xdr:col>4</xdr:col>
      <xdr:colOff>0</xdr:colOff>
      <xdr:row>3</xdr:row>
      <xdr:rowOff>73838</xdr:rowOff>
    </xdr:to>
    <xdr:pic>
      <xdr:nvPicPr>
        <xdr:cNvPr id="17" name="Graphic 16" descr="Bar chart with solid fill">
          <a:extLst>
            <a:ext uri="{FF2B5EF4-FFF2-40B4-BE49-F238E27FC236}">
              <a16:creationId xmlns:a16="http://schemas.microsoft.com/office/drawing/2014/main" id="{7F4B4504-7652-432C-834B-DCABE4020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93606" y="169828"/>
          <a:ext cx="457789" cy="457789"/>
        </a:xfrm>
        <a:prstGeom prst="rect">
          <a:avLst/>
        </a:prstGeom>
      </xdr:spPr>
    </xdr:pic>
    <xdr:clientData/>
  </xdr:twoCellAnchor>
  <xdr:oneCellAnchor>
    <xdr:from>
      <xdr:col>2</xdr:col>
      <xdr:colOff>598081</xdr:colOff>
      <xdr:row>6</xdr:row>
      <xdr:rowOff>125523</xdr:rowOff>
    </xdr:from>
    <xdr:ext cx="9092169" cy="140737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0A870B3-B304-8C63-E43E-EEF9CFE81CFC}"/>
            </a:ext>
          </a:extLst>
        </xdr:cNvPr>
        <xdr:cNvSpPr txBox="1"/>
      </xdr:nvSpPr>
      <xdr:spPr>
        <a:xfrm>
          <a:off x="1823779" y="1233081"/>
          <a:ext cx="9092169" cy="1407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 b="1">
              <a:solidFill>
                <a:schemeClr val="tx1"/>
              </a:solidFill>
            </a:rPr>
            <a:t>Sales Performance Dashboard</a:t>
          </a:r>
          <a:br>
            <a:rPr lang="en-IN" sz="1800" b="1">
              <a:solidFill>
                <a:srgbClr val="FF0000"/>
              </a:solidFill>
            </a:rPr>
          </a:br>
          <a:r>
            <a:rPr lang="en-IN" sz="1800" b="1" i="0">
              <a:solidFill>
                <a:srgbClr val="FF0000"/>
              </a:solidFill>
            </a:rPr>
            <a:t> * </a:t>
          </a:r>
          <a:r>
            <a:rPr lang="en-IN" sz="1600" b="0" i="0"/>
            <a:t>This dashboard provides a comprehensive overview of sales performance by analyzing key business metrics </a:t>
          </a:r>
        </a:p>
        <a:p>
          <a:r>
            <a:rPr lang="en-IN" sz="1600" b="0" i="0"/>
            <a:t>   such as total sales, orders, quantity sold, profit, and profit margin. It helps identify top-performing products,</a:t>
          </a:r>
        </a:p>
        <a:p>
          <a:r>
            <a:rPr lang="en-IN" sz="1600" b="0" i="0"/>
            <a:t>   categories, customers, salespersons, and regions. The dashboard also presents monthly sales trends to </a:t>
          </a:r>
        </a:p>
        <a:p>
          <a:r>
            <a:rPr lang="en-IN" sz="1600" b="0" i="0"/>
            <a:t>   support better business decision-making and performance monitoring</a:t>
          </a:r>
          <a:r>
            <a:rPr lang="en-IN" sz="1600" b="1"/>
            <a:t>.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otap\Downloads\archive%20(3)\product_Table.csv" TargetMode="External"/><Relationship Id="rId1" Type="http://schemas.openxmlformats.org/officeDocument/2006/relationships/externalLinkPath" Target="archive%20(3)/product_Tabl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_Table"/>
    </sheetNames>
    <sheetDataSet>
      <sheetData sheetId="0">
        <row r="2">
          <cell r="A2" t="str">
            <v>Laptop</v>
          </cell>
          <cell r="B2" t="str">
            <v>Electronics</v>
          </cell>
        </row>
        <row r="3">
          <cell r="A3" t="str">
            <v>Mobile</v>
          </cell>
          <cell r="B3" t="str">
            <v>Electronics</v>
          </cell>
        </row>
        <row r="4">
          <cell r="A4" t="str">
            <v>Tablet</v>
          </cell>
          <cell r="B4" t="str">
            <v>Gadgets</v>
          </cell>
        </row>
        <row r="5">
          <cell r="A5" t="str">
            <v>Headphones</v>
          </cell>
          <cell r="B5" t="str">
            <v>Accessories</v>
          </cell>
        </row>
        <row r="6">
          <cell r="A6" t="str">
            <v>Monitor</v>
          </cell>
          <cell r="B6" t="str">
            <v>Accessories</v>
          </cell>
        </row>
        <row r="7">
          <cell r="A7" t="str">
            <v>Keyboard</v>
          </cell>
          <cell r="B7" t="str">
            <v>Hardware</v>
          </cell>
        </row>
        <row r="8">
          <cell r="A8" t="str">
            <v>Mouse</v>
          </cell>
          <cell r="B8" t="str">
            <v>Hardware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ta Manikanta" refreshedDate="46231.888342939812" createdVersion="8" refreshedVersion="8" minRefreshableVersion="3" recordCount="100" xr:uid="{552871F5-8B49-4D52-86CA-B1E214548D19}">
  <cacheSource type="worksheet">
    <worksheetSource name="Table1"/>
  </cacheSource>
  <cacheFields count="8">
    <cacheField name="Transaction_ID" numFmtId="0">
      <sharedItems containsSemiMixedTypes="0" containsString="0" containsNumber="1" containsInteger="1" minValue="100" maxValue="199"/>
    </cacheField>
    <cacheField name="Date" numFmtId="14">
      <sharedItems containsSemiMixedTypes="0" containsNonDate="0" containsDate="1" containsString="0" minDate="2025-01-02T00:00:00" maxDate="2025-05-29T00:00:00" count="75">
        <d v="2025-05-25T00:00:00"/>
        <d v="2025-02-12T00:00:00"/>
        <d v="2025-01-03T00:00:00"/>
        <d v="2025-01-04T00:00:00"/>
        <d v="2025-05-20T00:00:00"/>
        <d v="2025-05-22T00:00:00"/>
        <d v="2025-03-09T00:00:00"/>
        <d v="2025-05-15T00:00:00"/>
        <d v="2025-02-10T00:00:00"/>
        <d v="2025-04-17T00:00:00"/>
        <d v="2025-03-13T00:00:00"/>
        <d v="2025-01-14T00:00:00"/>
        <d v="2025-02-23T00:00:00"/>
        <d v="2025-01-26T00:00:00"/>
        <d v="2025-05-05T00:00:00"/>
        <d v="2025-04-28T00:00:00"/>
        <d v="2025-05-13T00:00:00"/>
        <d v="2025-05-17T00:00:00"/>
        <d v="2025-05-23T00:00:00"/>
        <d v="2025-05-21T00:00:00"/>
        <d v="2025-02-03T00:00:00"/>
        <d v="2025-03-08T00:00:00"/>
        <d v="2025-04-25T00:00:00"/>
        <d v="2025-02-25T00:00:00"/>
        <d v="2025-04-21T00:00:00"/>
        <d v="2025-05-12T00:00:00"/>
        <d v="2025-03-29T00:00:00"/>
        <d v="2025-03-03T00:00:00"/>
        <d v="2025-04-27T00:00:00"/>
        <d v="2025-03-05T00:00:00"/>
        <d v="2025-03-28T00:00:00"/>
        <d v="2025-02-27T00:00:00"/>
        <d v="2025-04-24T00:00:00"/>
        <d v="2025-02-16T00:00:00"/>
        <d v="2025-04-19T00:00:00"/>
        <d v="2025-01-27T00:00:00"/>
        <d v="2025-04-16T00:00:00"/>
        <d v="2025-02-17T00:00:00"/>
        <d v="2025-02-22T00:00:00"/>
        <d v="2025-04-02T00:00:00"/>
        <d v="2025-02-09T00:00:00"/>
        <d v="2025-04-23T00:00:00"/>
        <d v="2025-04-06T00:00:00"/>
        <d v="2025-03-30T00:00:00"/>
        <d v="2025-02-01T00:00:00"/>
        <d v="2025-03-10T00:00:00"/>
        <d v="2025-01-11T00:00:00"/>
        <d v="2025-03-27T00:00:00"/>
        <d v="2025-02-08T00:00:00"/>
        <d v="2025-05-08T00:00:00"/>
        <d v="2025-01-02T00:00:00"/>
        <d v="2025-04-20T00:00:00"/>
        <d v="2025-03-14T00:00:00"/>
        <d v="2025-03-02T00:00:00"/>
        <d v="2025-04-10T00:00:00"/>
        <d v="2025-03-19T00:00:00"/>
        <d v="2025-02-28T00:00:00"/>
        <d v="2025-05-28T00:00:00"/>
        <d v="2025-04-15T00:00:00"/>
        <d v="2025-05-19T00:00:00"/>
        <d v="2025-01-05T00:00:00"/>
        <d v="2025-04-26T00:00:00"/>
        <d v="2025-01-09T00:00:00"/>
        <d v="2025-01-28T00:00:00"/>
        <d v="2025-05-09T00:00:00"/>
        <d v="2025-02-11T00:00:00"/>
        <d v="2025-03-20T00:00:00"/>
        <d v="2025-02-18T00:00:00"/>
        <d v="2025-01-08T00:00:00"/>
        <d v="2025-05-06T00:00:00"/>
        <d v="2025-02-19T00:00:00"/>
        <d v="2025-01-31T00:00:00"/>
        <d v="2025-01-17T00:00:00"/>
        <d v="2025-01-21T00:00:00"/>
        <d v="2025-02-14T00:00:00"/>
      </sharedItems>
    </cacheField>
    <cacheField name="Customer" numFmtId="0">
      <sharedItems count="10">
        <s v="Karan"/>
        <s v="Pooja"/>
        <s v="Sneha"/>
        <s v="Amit"/>
        <s v="Sohan"/>
        <s v="Vikram"/>
        <s v="Anjali"/>
        <s v="Neha"/>
        <s v="Priya"/>
        <s v="Rahul"/>
      </sharedItems>
    </cacheField>
    <cacheField name="City" numFmtId="0">
      <sharedItems count="8">
        <s v="Ahmedabad"/>
        <s v="Delhi"/>
        <s v="Mumbai"/>
        <s v="Bangalore"/>
        <s v="Hyderabad"/>
        <s v="Kolkata"/>
        <s v="Pune"/>
        <s v="Chennai"/>
      </sharedItems>
    </cacheField>
    <cacheField name="Product" numFmtId="0">
      <sharedItems count="5">
        <s v="Laptop"/>
        <s v="Mobile"/>
        <s v="Tablet"/>
        <s v="Monitor"/>
        <s v="Headphones"/>
      </sharedItems>
    </cacheField>
    <cacheField name="Sales" numFmtId="0">
      <sharedItems containsSemiMixedTypes="0" containsString="0" containsNumber="1" containsInteger="1" minValue="1532" maxValue="55981"/>
    </cacheField>
    <cacheField name="Quantity" numFmtId="0">
      <sharedItems containsSemiMixedTypes="0" containsString="0" containsNumber="1" containsInteger="1" minValue="1" maxValue="3"/>
    </cacheField>
    <cacheField name="Feedback_Score" numFmtId="0">
      <sharedItems containsSemiMixedTypes="0" containsString="0" containsNumber="1" minValue="3" maxValue="5"/>
    </cacheField>
  </cacheFields>
  <extLst>
    <ext xmlns:x14="http://schemas.microsoft.com/office/spreadsheetml/2009/9/main" uri="{725AE2AE-9491-48be-B2B4-4EB974FC3084}">
      <x14:pivotCacheDefinition pivotCacheId="3804909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67"/>
    <x v="0"/>
    <x v="0"/>
    <x v="0"/>
    <x v="0"/>
    <n v="55981"/>
    <n v="1"/>
    <n v="4.0999999999999996"/>
  </r>
  <r>
    <n v="158"/>
    <x v="1"/>
    <x v="1"/>
    <x v="1"/>
    <x v="0"/>
    <n v="55922"/>
    <n v="3"/>
    <n v="3.1"/>
  </r>
  <r>
    <n v="180"/>
    <x v="2"/>
    <x v="2"/>
    <x v="1"/>
    <x v="0"/>
    <n v="55868"/>
    <n v="3"/>
    <n v="3.2"/>
  </r>
  <r>
    <n v="133"/>
    <x v="3"/>
    <x v="3"/>
    <x v="2"/>
    <x v="0"/>
    <n v="55837"/>
    <n v="3"/>
    <n v="3.9"/>
  </r>
  <r>
    <n v="156"/>
    <x v="4"/>
    <x v="4"/>
    <x v="3"/>
    <x v="0"/>
    <n v="55788"/>
    <n v="3"/>
    <n v="4"/>
  </r>
  <r>
    <n v="134"/>
    <x v="5"/>
    <x v="3"/>
    <x v="4"/>
    <x v="0"/>
    <n v="55720"/>
    <n v="2"/>
    <n v="4.5"/>
  </r>
  <r>
    <n v="172"/>
    <x v="6"/>
    <x v="5"/>
    <x v="1"/>
    <x v="0"/>
    <n v="55640"/>
    <n v="1"/>
    <n v="3.7"/>
  </r>
  <r>
    <n v="168"/>
    <x v="7"/>
    <x v="5"/>
    <x v="5"/>
    <x v="0"/>
    <n v="55569"/>
    <n v="3"/>
    <n v="3.6"/>
  </r>
  <r>
    <n v="143"/>
    <x v="8"/>
    <x v="2"/>
    <x v="6"/>
    <x v="0"/>
    <n v="55441"/>
    <n v="2"/>
    <n v="4.4000000000000004"/>
  </r>
  <r>
    <n v="135"/>
    <x v="9"/>
    <x v="6"/>
    <x v="3"/>
    <x v="0"/>
    <n v="55339"/>
    <n v="1"/>
    <n v="4.4000000000000004"/>
  </r>
  <r>
    <n v="111"/>
    <x v="10"/>
    <x v="0"/>
    <x v="4"/>
    <x v="0"/>
    <n v="55188"/>
    <n v="2"/>
    <n v="4.0999999999999996"/>
  </r>
  <r>
    <n v="174"/>
    <x v="11"/>
    <x v="7"/>
    <x v="1"/>
    <x v="0"/>
    <n v="55136"/>
    <n v="2"/>
    <n v="4.9000000000000004"/>
  </r>
  <r>
    <n v="170"/>
    <x v="12"/>
    <x v="2"/>
    <x v="4"/>
    <x v="0"/>
    <n v="55030"/>
    <n v="3"/>
    <n v="3.4"/>
  </r>
  <r>
    <n v="101"/>
    <x v="13"/>
    <x v="7"/>
    <x v="1"/>
    <x v="0"/>
    <n v="54947"/>
    <n v="1"/>
    <n v="3.6"/>
  </r>
  <r>
    <n v="104"/>
    <x v="14"/>
    <x v="8"/>
    <x v="7"/>
    <x v="0"/>
    <n v="54944"/>
    <n v="3"/>
    <n v="3.7"/>
  </r>
  <r>
    <n v="157"/>
    <x v="15"/>
    <x v="3"/>
    <x v="7"/>
    <x v="0"/>
    <n v="54944"/>
    <n v="3"/>
    <n v="4.9000000000000004"/>
  </r>
  <r>
    <n v="112"/>
    <x v="12"/>
    <x v="0"/>
    <x v="1"/>
    <x v="0"/>
    <n v="54937"/>
    <n v="3"/>
    <n v="3.6"/>
  </r>
  <r>
    <n v="122"/>
    <x v="16"/>
    <x v="6"/>
    <x v="6"/>
    <x v="0"/>
    <n v="54895"/>
    <n v="2"/>
    <n v="4.7"/>
  </r>
  <r>
    <n v="121"/>
    <x v="17"/>
    <x v="0"/>
    <x v="5"/>
    <x v="0"/>
    <n v="54740"/>
    <n v="1"/>
    <n v="3.6"/>
  </r>
  <r>
    <n v="153"/>
    <x v="18"/>
    <x v="6"/>
    <x v="5"/>
    <x v="0"/>
    <n v="54717"/>
    <n v="3"/>
    <n v="4.0999999999999996"/>
  </r>
  <r>
    <n v="118"/>
    <x v="19"/>
    <x v="6"/>
    <x v="1"/>
    <x v="0"/>
    <n v="54560"/>
    <n v="1"/>
    <n v="4.4000000000000004"/>
  </r>
  <r>
    <n v="195"/>
    <x v="20"/>
    <x v="3"/>
    <x v="0"/>
    <x v="0"/>
    <n v="54513"/>
    <n v="2"/>
    <n v="4.7"/>
  </r>
  <r>
    <n v="194"/>
    <x v="21"/>
    <x v="8"/>
    <x v="4"/>
    <x v="1"/>
    <n v="25991"/>
    <n v="3"/>
    <n v="3.1"/>
  </r>
  <r>
    <n v="176"/>
    <x v="22"/>
    <x v="1"/>
    <x v="6"/>
    <x v="1"/>
    <n v="25867"/>
    <n v="2"/>
    <n v="3.3"/>
  </r>
  <r>
    <n v="100"/>
    <x v="23"/>
    <x v="3"/>
    <x v="1"/>
    <x v="1"/>
    <n v="25846"/>
    <n v="1"/>
    <n v="4.9000000000000004"/>
  </r>
  <r>
    <n v="141"/>
    <x v="24"/>
    <x v="6"/>
    <x v="6"/>
    <x v="1"/>
    <n v="25625"/>
    <n v="1"/>
    <n v="3.3"/>
  </r>
  <r>
    <n v="177"/>
    <x v="25"/>
    <x v="4"/>
    <x v="6"/>
    <x v="1"/>
    <n v="25599"/>
    <n v="1"/>
    <n v="4.7"/>
  </r>
  <r>
    <n v="129"/>
    <x v="26"/>
    <x v="8"/>
    <x v="7"/>
    <x v="1"/>
    <n v="25489"/>
    <n v="2"/>
    <n v="4.4000000000000004"/>
  </r>
  <r>
    <n v="162"/>
    <x v="27"/>
    <x v="7"/>
    <x v="2"/>
    <x v="1"/>
    <n v="25463"/>
    <n v="2"/>
    <n v="4.0999999999999996"/>
  </r>
  <r>
    <n v="128"/>
    <x v="28"/>
    <x v="4"/>
    <x v="5"/>
    <x v="1"/>
    <n v="25422"/>
    <n v="2"/>
    <n v="4.5"/>
  </r>
  <r>
    <n v="139"/>
    <x v="29"/>
    <x v="6"/>
    <x v="4"/>
    <x v="1"/>
    <n v="25390"/>
    <n v="2"/>
    <n v="3.6"/>
  </r>
  <r>
    <n v="175"/>
    <x v="30"/>
    <x v="3"/>
    <x v="0"/>
    <x v="1"/>
    <n v="25381"/>
    <n v="1"/>
    <n v="4.5"/>
  </r>
  <r>
    <n v="147"/>
    <x v="31"/>
    <x v="0"/>
    <x v="0"/>
    <x v="1"/>
    <n v="25275"/>
    <n v="1"/>
    <n v="4.2"/>
  </r>
  <r>
    <n v="106"/>
    <x v="32"/>
    <x v="0"/>
    <x v="7"/>
    <x v="1"/>
    <n v="25254"/>
    <n v="3"/>
    <n v="3.5"/>
  </r>
  <r>
    <n v="132"/>
    <x v="33"/>
    <x v="9"/>
    <x v="5"/>
    <x v="1"/>
    <n v="25236"/>
    <n v="3"/>
    <n v="3.2"/>
  </r>
  <r>
    <n v="142"/>
    <x v="34"/>
    <x v="6"/>
    <x v="0"/>
    <x v="1"/>
    <n v="25202"/>
    <n v="1"/>
    <n v="4.0999999999999996"/>
  </r>
  <r>
    <n v="179"/>
    <x v="35"/>
    <x v="0"/>
    <x v="3"/>
    <x v="1"/>
    <n v="25193"/>
    <n v="1"/>
    <n v="4.7"/>
  </r>
  <r>
    <n v="152"/>
    <x v="36"/>
    <x v="3"/>
    <x v="6"/>
    <x v="1"/>
    <n v="25089"/>
    <n v="3"/>
    <n v="5"/>
  </r>
  <r>
    <n v="151"/>
    <x v="15"/>
    <x v="6"/>
    <x v="6"/>
    <x v="1"/>
    <n v="25080"/>
    <n v="3"/>
    <n v="4.7"/>
  </r>
  <r>
    <n v="136"/>
    <x v="37"/>
    <x v="9"/>
    <x v="1"/>
    <x v="1"/>
    <n v="25049"/>
    <n v="2"/>
    <n v="3.9"/>
  </r>
  <r>
    <n v="114"/>
    <x v="38"/>
    <x v="8"/>
    <x v="3"/>
    <x v="1"/>
    <n v="24964"/>
    <n v="3"/>
    <n v="4.2"/>
  </r>
  <r>
    <n v="160"/>
    <x v="39"/>
    <x v="7"/>
    <x v="4"/>
    <x v="1"/>
    <n v="24880"/>
    <n v="2"/>
    <n v="4.4000000000000004"/>
  </r>
  <r>
    <n v="185"/>
    <x v="39"/>
    <x v="7"/>
    <x v="0"/>
    <x v="1"/>
    <n v="24767"/>
    <n v="2"/>
    <n v="3.1"/>
  </r>
  <r>
    <n v="124"/>
    <x v="40"/>
    <x v="6"/>
    <x v="7"/>
    <x v="1"/>
    <n v="24665"/>
    <n v="2"/>
    <n v="3.3"/>
  </r>
  <r>
    <n v="191"/>
    <x v="41"/>
    <x v="7"/>
    <x v="1"/>
    <x v="1"/>
    <n v="24658"/>
    <n v="2"/>
    <n v="4.7"/>
  </r>
  <r>
    <n v="186"/>
    <x v="42"/>
    <x v="6"/>
    <x v="2"/>
    <x v="1"/>
    <n v="24591"/>
    <n v="1"/>
    <n v="4.5"/>
  </r>
  <r>
    <n v="113"/>
    <x v="43"/>
    <x v="2"/>
    <x v="0"/>
    <x v="1"/>
    <n v="24516"/>
    <n v="1"/>
    <n v="5"/>
  </r>
  <r>
    <n v="146"/>
    <x v="1"/>
    <x v="2"/>
    <x v="7"/>
    <x v="2"/>
    <n v="15977"/>
    <n v="3"/>
    <n v="3.6"/>
  </r>
  <r>
    <n v="169"/>
    <x v="44"/>
    <x v="0"/>
    <x v="3"/>
    <x v="2"/>
    <n v="15914"/>
    <n v="1"/>
    <n v="3.6"/>
  </r>
  <r>
    <n v="103"/>
    <x v="45"/>
    <x v="6"/>
    <x v="5"/>
    <x v="2"/>
    <n v="15913"/>
    <n v="3"/>
    <n v="3.4"/>
  </r>
  <r>
    <n v="193"/>
    <x v="46"/>
    <x v="3"/>
    <x v="2"/>
    <x v="2"/>
    <n v="15891"/>
    <n v="2"/>
    <n v="3.3"/>
  </r>
  <r>
    <n v="137"/>
    <x v="47"/>
    <x v="1"/>
    <x v="1"/>
    <x v="2"/>
    <n v="15880"/>
    <n v="2"/>
    <n v="4"/>
  </r>
  <r>
    <n v="116"/>
    <x v="11"/>
    <x v="4"/>
    <x v="5"/>
    <x v="2"/>
    <n v="15877"/>
    <n v="2"/>
    <n v="4.7"/>
  </r>
  <r>
    <n v="109"/>
    <x v="16"/>
    <x v="5"/>
    <x v="3"/>
    <x v="2"/>
    <n v="15779"/>
    <n v="1"/>
    <n v="4.3"/>
  </r>
  <r>
    <n v="196"/>
    <x v="48"/>
    <x v="0"/>
    <x v="3"/>
    <x v="2"/>
    <n v="15754"/>
    <n v="2"/>
    <n v="3.5"/>
  </r>
  <r>
    <n v="144"/>
    <x v="38"/>
    <x v="8"/>
    <x v="7"/>
    <x v="2"/>
    <n v="15750"/>
    <n v="1"/>
    <n v="3.5"/>
  </r>
  <r>
    <n v="148"/>
    <x v="49"/>
    <x v="1"/>
    <x v="0"/>
    <x v="2"/>
    <n v="15633"/>
    <n v="2"/>
    <n v="3.4"/>
  </r>
  <r>
    <n v="164"/>
    <x v="47"/>
    <x v="5"/>
    <x v="7"/>
    <x v="2"/>
    <n v="15567"/>
    <n v="1"/>
    <n v="3.3"/>
  </r>
  <r>
    <n v="126"/>
    <x v="50"/>
    <x v="0"/>
    <x v="4"/>
    <x v="2"/>
    <n v="15332"/>
    <n v="1"/>
    <n v="4.9000000000000004"/>
  </r>
  <r>
    <n v="145"/>
    <x v="41"/>
    <x v="1"/>
    <x v="0"/>
    <x v="2"/>
    <n v="15142"/>
    <n v="1"/>
    <n v="3.5"/>
  </r>
  <r>
    <n v="187"/>
    <x v="51"/>
    <x v="0"/>
    <x v="6"/>
    <x v="2"/>
    <n v="15138"/>
    <n v="3"/>
    <n v="4.8"/>
  </r>
  <r>
    <n v="150"/>
    <x v="6"/>
    <x v="1"/>
    <x v="5"/>
    <x v="2"/>
    <n v="14992"/>
    <n v="2"/>
    <n v="4.4000000000000004"/>
  </r>
  <r>
    <n v="173"/>
    <x v="52"/>
    <x v="7"/>
    <x v="2"/>
    <x v="2"/>
    <n v="14898"/>
    <n v="1"/>
    <n v="4.0999999999999996"/>
  </r>
  <r>
    <n v="123"/>
    <x v="21"/>
    <x v="2"/>
    <x v="7"/>
    <x v="2"/>
    <n v="14838"/>
    <n v="2"/>
    <n v="3"/>
  </r>
  <r>
    <n v="166"/>
    <x v="0"/>
    <x v="4"/>
    <x v="1"/>
    <x v="2"/>
    <n v="14547"/>
    <n v="2"/>
    <n v="4.5999999999999996"/>
  </r>
  <r>
    <n v="154"/>
    <x v="53"/>
    <x v="4"/>
    <x v="7"/>
    <x v="3"/>
    <n v="12982"/>
    <n v="1"/>
    <n v="3.2"/>
  </r>
  <r>
    <n v="165"/>
    <x v="54"/>
    <x v="3"/>
    <x v="4"/>
    <x v="3"/>
    <n v="12961"/>
    <n v="3"/>
    <n v="3.5"/>
  </r>
  <r>
    <n v="108"/>
    <x v="55"/>
    <x v="4"/>
    <x v="1"/>
    <x v="3"/>
    <n v="12906"/>
    <n v="3"/>
    <n v="4.0999999999999996"/>
  </r>
  <r>
    <n v="130"/>
    <x v="56"/>
    <x v="1"/>
    <x v="5"/>
    <x v="3"/>
    <n v="12881"/>
    <n v="3"/>
    <n v="4.2"/>
  </r>
  <r>
    <n v="115"/>
    <x v="30"/>
    <x v="3"/>
    <x v="4"/>
    <x v="3"/>
    <n v="12860"/>
    <n v="3"/>
    <n v="4.2"/>
  </r>
  <r>
    <n v="171"/>
    <x v="57"/>
    <x v="8"/>
    <x v="5"/>
    <x v="3"/>
    <n v="12829"/>
    <n v="2"/>
    <n v="3.6"/>
  </r>
  <r>
    <n v="131"/>
    <x v="58"/>
    <x v="0"/>
    <x v="0"/>
    <x v="3"/>
    <n v="12789"/>
    <n v="2"/>
    <n v="3.6"/>
  </r>
  <r>
    <n v="120"/>
    <x v="59"/>
    <x v="7"/>
    <x v="0"/>
    <x v="3"/>
    <n v="12729"/>
    <n v="2"/>
    <n v="3.8"/>
  </r>
  <r>
    <n v="184"/>
    <x v="35"/>
    <x v="6"/>
    <x v="7"/>
    <x v="3"/>
    <n v="12666"/>
    <n v="1"/>
    <n v="3.5"/>
  </r>
  <r>
    <n v="190"/>
    <x v="42"/>
    <x v="4"/>
    <x v="6"/>
    <x v="3"/>
    <n v="12604"/>
    <n v="3"/>
    <n v="3.8"/>
  </r>
  <r>
    <n v="198"/>
    <x v="60"/>
    <x v="9"/>
    <x v="0"/>
    <x v="3"/>
    <n v="12499"/>
    <n v="1"/>
    <n v="4.8"/>
  </r>
  <r>
    <n v="188"/>
    <x v="61"/>
    <x v="0"/>
    <x v="5"/>
    <x v="3"/>
    <n v="12476"/>
    <n v="3"/>
    <n v="4.5"/>
  </r>
  <r>
    <n v="192"/>
    <x v="62"/>
    <x v="2"/>
    <x v="7"/>
    <x v="3"/>
    <n v="12410"/>
    <n v="3"/>
    <n v="3.3"/>
  </r>
  <r>
    <n v="161"/>
    <x v="20"/>
    <x v="7"/>
    <x v="6"/>
    <x v="3"/>
    <n v="12384"/>
    <n v="2"/>
    <n v="4.9000000000000004"/>
  </r>
  <r>
    <n v="140"/>
    <x v="63"/>
    <x v="7"/>
    <x v="2"/>
    <x v="3"/>
    <n v="12345"/>
    <n v="2"/>
    <n v="4.4000000000000004"/>
  </r>
  <r>
    <n v="117"/>
    <x v="0"/>
    <x v="2"/>
    <x v="6"/>
    <x v="3"/>
    <n v="12318"/>
    <n v="2"/>
    <n v="3.2"/>
  </r>
  <r>
    <n v="178"/>
    <x v="64"/>
    <x v="7"/>
    <x v="0"/>
    <x v="3"/>
    <n v="12208"/>
    <n v="1"/>
    <n v="3.4"/>
  </r>
  <r>
    <n v="138"/>
    <x v="29"/>
    <x v="6"/>
    <x v="0"/>
    <x v="3"/>
    <n v="12099"/>
    <n v="3"/>
    <n v="3.1"/>
  </r>
  <r>
    <n v="105"/>
    <x v="65"/>
    <x v="0"/>
    <x v="1"/>
    <x v="3"/>
    <n v="12065"/>
    <n v="2"/>
    <n v="4.2"/>
  </r>
  <r>
    <n v="183"/>
    <x v="21"/>
    <x v="5"/>
    <x v="3"/>
    <x v="3"/>
    <n v="12007"/>
    <n v="3"/>
    <n v="3.4"/>
  </r>
  <r>
    <n v="110"/>
    <x v="27"/>
    <x v="0"/>
    <x v="2"/>
    <x v="3"/>
    <n v="11811"/>
    <n v="1"/>
    <n v="4.5"/>
  </r>
  <r>
    <n v="125"/>
    <x v="58"/>
    <x v="2"/>
    <x v="4"/>
    <x v="3"/>
    <n v="11702"/>
    <n v="3"/>
    <n v="3.9"/>
  </r>
  <r>
    <n v="149"/>
    <x v="24"/>
    <x v="2"/>
    <x v="6"/>
    <x v="4"/>
    <n v="2976"/>
    <n v="1"/>
    <n v="4.0999999999999996"/>
  </r>
  <r>
    <n v="107"/>
    <x v="66"/>
    <x v="8"/>
    <x v="1"/>
    <x v="4"/>
    <n v="2866"/>
    <n v="1"/>
    <n v="3.7"/>
  </r>
  <r>
    <n v="155"/>
    <x v="67"/>
    <x v="1"/>
    <x v="3"/>
    <x v="4"/>
    <n v="2756"/>
    <n v="2"/>
    <n v="4.7"/>
  </r>
  <r>
    <n v="127"/>
    <x v="31"/>
    <x v="3"/>
    <x v="1"/>
    <x v="4"/>
    <n v="2612"/>
    <n v="2"/>
    <n v="3"/>
  </r>
  <r>
    <n v="163"/>
    <x v="68"/>
    <x v="9"/>
    <x v="7"/>
    <x v="4"/>
    <n v="2560"/>
    <n v="1"/>
    <n v="3.3"/>
  </r>
  <r>
    <n v="197"/>
    <x v="30"/>
    <x v="6"/>
    <x v="6"/>
    <x v="4"/>
    <n v="2454"/>
    <n v="1"/>
    <n v="3.2"/>
  </r>
  <r>
    <n v="119"/>
    <x v="69"/>
    <x v="2"/>
    <x v="1"/>
    <x v="4"/>
    <n v="2250"/>
    <n v="2"/>
    <n v="4"/>
  </r>
  <r>
    <n v="181"/>
    <x v="70"/>
    <x v="1"/>
    <x v="3"/>
    <x v="4"/>
    <n v="2093"/>
    <n v="3"/>
    <n v="4.5"/>
  </r>
  <r>
    <n v="102"/>
    <x v="71"/>
    <x v="4"/>
    <x v="0"/>
    <x v="4"/>
    <n v="1989"/>
    <n v="3"/>
    <n v="4.2"/>
  </r>
  <r>
    <n v="182"/>
    <x v="72"/>
    <x v="7"/>
    <x v="7"/>
    <x v="4"/>
    <n v="1841"/>
    <n v="2"/>
    <n v="4.2"/>
  </r>
  <r>
    <n v="159"/>
    <x v="73"/>
    <x v="3"/>
    <x v="0"/>
    <x v="4"/>
    <n v="1823"/>
    <n v="2"/>
    <n v="3.2"/>
  </r>
  <r>
    <n v="199"/>
    <x v="74"/>
    <x v="3"/>
    <x v="1"/>
    <x v="4"/>
    <n v="1715"/>
    <n v="1"/>
    <n v="3"/>
  </r>
  <r>
    <n v="189"/>
    <x v="10"/>
    <x v="6"/>
    <x v="3"/>
    <x v="4"/>
    <n v="1532"/>
    <n v="3"/>
    <n v="3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45EF8-0830-481E-ABD4-C71C42C8AACF}" name="PivotTable5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3">
  <location ref="A36:B42" firstHeaderRow="1" firstDataRow="1" firstDataCol="1"/>
  <pivotFields count="8">
    <pivotField showAll="0"/>
    <pivotField numFmtId="14" showAll="0">
      <items count="76">
        <item x="50"/>
        <item x="2"/>
        <item x="3"/>
        <item x="60"/>
        <item x="68"/>
        <item x="62"/>
        <item x="46"/>
        <item x="11"/>
        <item x="72"/>
        <item x="73"/>
        <item x="13"/>
        <item x="35"/>
        <item x="63"/>
        <item x="71"/>
        <item x="44"/>
        <item x="20"/>
        <item x="48"/>
        <item x="40"/>
        <item x="8"/>
        <item x="65"/>
        <item x="1"/>
        <item x="74"/>
        <item x="33"/>
        <item x="37"/>
        <item x="67"/>
        <item x="70"/>
        <item x="38"/>
        <item x="12"/>
        <item x="23"/>
        <item x="31"/>
        <item x="56"/>
        <item x="53"/>
        <item x="27"/>
        <item x="29"/>
        <item x="21"/>
        <item x="6"/>
        <item x="45"/>
        <item x="10"/>
        <item x="52"/>
        <item x="55"/>
        <item x="66"/>
        <item x="47"/>
        <item x="30"/>
        <item x="26"/>
        <item x="43"/>
        <item x="39"/>
        <item x="42"/>
        <item x="54"/>
        <item x="58"/>
        <item x="36"/>
        <item x="9"/>
        <item x="34"/>
        <item x="51"/>
        <item x="24"/>
        <item x="41"/>
        <item x="32"/>
        <item x="22"/>
        <item x="61"/>
        <item x="28"/>
        <item x="15"/>
        <item x="14"/>
        <item x="69"/>
        <item x="49"/>
        <item x="64"/>
        <item x="25"/>
        <item x="16"/>
        <item x="7"/>
        <item x="17"/>
        <item x="59"/>
        <item x="4"/>
        <item x="19"/>
        <item x="5"/>
        <item x="18"/>
        <item x="0"/>
        <item x="57"/>
        <item t="default"/>
      </items>
    </pivotField>
    <pivotField showAll="0"/>
    <pivotField showAll="0">
      <items count="9">
        <item x="0"/>
        <item x="3"/>
        <item x="7"/>
        <item x="1"/>
        <item x="4"/>
        <item x="5"/>
        <item x="2"/>
        <item x="6"/>
        <item t="default"/>
      </items>
    </pivotField>
    <pivotField axis="axisRow" showAll="0">
      <items count="6">
        <item x="4"/>
        <item x="0"/>
        <item x="1"/>
        <item x="3"/>
        <item x="2"/>
        <item t="default"/>
      </items>
    </pivotField>
    <pivotField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6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36" name="Date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BDCAE-43DA-4193-BFEF-652A081B36B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18:B27" firstHeaderRow="1" firstDataRow="1" firstDataCol="1"/>
  <pivotFields count="8">
    <pivotField showAll="0"/>
    <pivotField numFmtId="14" showAll="0"/>
    <pivotField showAll="0"/>
    <pivotField axis="axisRow" showAll="0">
      <items count="9">
        <item x="0"/>
        <item x="3"/>
        <item x="7"/>
        <item x="1"/>
        <item x="4"/>
        <item x="5"/>
        <item x="2"/>
        <item x="6"/>
        <item t="default"/>
      </items>
    </pivotField>
    <pivotField showAll="0">
      <items count="6">
        <item x="4"/>
        <item x="0"/>
        <item x="1"/>
        <item x="3"/>
        <item x="2"/>
        <item t="default"/>
      </items>
    </pivotField>
    <pivotField dataField="1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2A934-3C5A-48E3-8BA2-3E5FF0EDCD5B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5">
  <location ref="A3:B9" firstHeaderRow="1" firstDataRow="1" firstDataCol="1"/>
  <pivotFields count="8">
    <pivotField showAll="0"/>
    <pivotField numFmtId="14" showAll="0"/>
    <pivotField showAll="0"/>
    <pivotField showAll="0">
      <items count="9">
        <item x="0"/>
        <item x="3"/>
        <item x="7"/>
        <item x="1"/>
        <item x="4"/>
        <item x="5"/>
        <item x="2"/>
        <item x="6"/>
        <item t="default"/>
      </items>
    </pivotField>
    <pivotField axis="axisRow" showAll="0">
      <items count="6">
        <item x="4"/>
        <item x="0"/>
        <item x="1"/>
        <item x="3"/>
        <item x="2"/>
        <item t="default"/>
      </items>
    </pivotField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5C37D-A132-4120-B211-0744337373A6}" name="Table1" displayName="Table1" ref="A1:I102" totalsRowCount="1">
  <autoFilter ref="A1:I101" xr:uid="{D6A5C37D-A132-4120-B211-0744337373A6}"/>
  <sortState xmlns:xlrd2="http://schemas.microsoft.com/office/spreadsheetml/2017/richdata2" ref="A2:H106">
    <sortCondition descending="1" ref="F1:F106"/>
  </sortState>
  <tableColumns count="9">
    <tableColumn id="1" xr3:uid="{5B0682E6-4D75-4B49-AD7D-6FCA8F2BFD1E}" name="Transaction_ID"/>
    <tableColumn id="2" xr3:uid="{50886D7F-7195-4E68-A61E-6F2514BA8C8D}" name="Date"/>
    <tableColumn id="3" xr3:uid="{36622031-3C44-47E6-849F-34ECA95AA459}" name="Customer"/>
    <tableColumn id="4" xr3:uid="{5754DE5A-EFAD-463D-A187-A16C5007F880}" name="City"/>
    <tableColumn id="5" xr3:uid="{422B8F18-6098-4F52-94FD-C940F8915601}" name="Product"/>
    <tableColumn id="6" xr3:uid="{103303F8-F8A9-49CE-A261-6A0DCADBCDCA}" name="Sales" totalsRowFunction="average"/>
    <tableColumn id="7" xr3:uid="{23774F22-ED9B-4F53-85EB-27E5BF1A693D}" name="Quantity"/>
    <tableColumn id="8" xr3:uid="{4F4D761B-F4CA-41DA-81DC-F62E49BD7072}" name="Feedback_Score"/>
    <tableColumn id="9" xr3:uid="{8CB9F6FB-389C-4F23-96A0-C3D6DC0BE81C}" name="Category" dataDxfId="1" totalsRowDxfId="0">
      <calculatedColumnFormula>_xlfn.XLOOKUP(Table1[[#This Row],[Product]],[1]product_Table!$A$2:$A$8,[1]product_Table!$B$2:$B$8)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A55E-D433-4625-9DD5-1BCD1E997790}">
  <dimension ref="E5"/>
  <sheetViews>
    <sheetView tabSelected="1" zoomScale="86" workbookViewId="0"/>
  </sheetViews>
  <sheetFormatPr defaultRowHeight="14.5" x14ac:dyDescent="0.35"/>
  <sheetData>
    <row r="5" spans="5:5" x14ac:dyDescent="0.35">
      <c r="E5" s="4">
        <v>2428968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5599-702E-4352-83F0-F71C4DCDA361}">
  <dimension ref="A1:B42"/>
  <sheetViews>
    <sheetView zoomScale="53" workbookViewId="0"/>
  </sheetViews>
  <sheetFormatPr defaultRowHeight="14.5" x14ac:dyDescent="0.35"/>
  <cols>
    <col min="1" max="1" width="15" bestFit="1" customWidth="1"/>
    <col min="2" max="2" width="11.90625" bestFit="1" customWidth="1"/>
    <col min="3" max="3" width="20.90625" bestFit="1" customWidth="1"/>
  </cols>
  <sheetData>
    <row r="1" spans="1:2" x14ac:dyDescent="0.35">
      <c r="A1" s="5" t="s">
        <v>36</v>
      </c>
    </row>
    <row r="3" spans="1:2" x14ac:dyDescent="0.35">
      <c r="A3" s="2" t="s">
        <v>32</v>
      </c>
      <c r="B3" t="s">
        <v>31</v>
      </c>
    </row>
    <row r="4" spans="1:2" x14ac:dyDescent="0.35">
      <c r="A4" s="3" t="s">
        <v>15</v>
      </c>
      <c r="B4">
        <v>29467</v>
      </c>
    </row>
    <row r="5" spans="1:2" x14ac:dyDescent="0.35">
      <c r="A5" s="3" t="s">
        <v>12</v>
      </c>
      <c r="B5">
        <v>1215656</v>
      </c>
    </row>
    <row r="6" spans="1:2" x14ac:dyDescent="0.35">
      <c r="A6" s="3" t="s">
        <v>10</v>
      </c>
      <c r="B6">
        <v>630492</v>
      </c>
    </row>
    <row r="7" spans="1:2" x14ac:dyDescent="0.35">
      <c r="A7" s="3" t="s">
        <v>22</v>
      </c>
      <c r="B7">
        <v>274531</v>
      </c>
    </row>
    <row r="8" spans="1:2" x14ac:dyDescent="0.35">
      <c r="A8" s="3" t="s">
        <v>18</v>
      </c>
      <c r="B8">
        <v>278822</v>
      </c>
    </row>
    <row r="9" spans="1:2" x14ac:dyDescent="0.35">
      <c r="A9" s="3" t="s">
        <v>33</v>
      </c>
      <c r="B9">
        <v>2428968</v>
      </c>
    </row>
    <row r="18" spans="1:2" x14ac:dyDescent="0.35">
      <c r="A18" s="2" t="s">
        <v>32</v>
      </c>
      <c r="B18" t="s">
        <v>31</v>
      </c>
    </row>
    <row r="19" spans="1:2" x14ac:dyDescent="0.35">
      <c r="A19" s="3" t="s">
        <v>14</v>
      </c>
      <c r="B19">
        <v>332546</v>
      </c>
    </row>
    <row r="20" spans="1:2" x14ac:dyDescent="0.35">
      <c r="A20" s="3" t="s">
        <v>24</v>
      </c>
      <c r="B20">
        <v>227119</v>
      </c>
    </row>
    <row r="21" spans="1:2" x14ac:dyDescent="0.35">
      <c r="A21" s="3" t="s">
        <v>20</v>
      </c>
      <c r="B21">
        <v>289887</v>
      </c>
    </row>
    <row r="22" spans="1:2" x14ac:dyDescent="0.35">
      <c r="A22" s="3" t="s">
        <v>9</v>
      </c>
      <c r="B22">
        <v>527404</v>
      </c>
    </row>
    <row r="23" spans="1:2" x14ac:dyDescent="0.35">
      <c r="A23" s="3" t="s">
        <v>26</v>
      </c>
      <c r="B23">
        <v>295054</v>
      </c>
    </row>
    <row r="24" spans="1:2" x14ac:dyDescent="0.35">
      <c r="A24" s="3" t="s">
        <v>17</v>
      </c>
      <c r="B24">
        <v>300652</v>
      </c>
    </row>
    <row r="25" spans="1:2" x14ac:dyDescent="0.35">
      <c r="A25" s="3" t="s">
        <v>25</v>
      </c>
      <c r="B25">
        <v>160836</v>
      </c>
    </row>
    <row r="26" spans="1:2" x14ac:dyDescent="0.35">
      <c r="A26" s="3" t="s">
        <v>28</v>
      </c>
      <c r="B26">
        <v>295470</v>
      </c>
    </row>
    <row r="27" spans="1:2" x14ac:dyDescent="0.35">
      <c r="A27" s="3" t="s">
        <v>33</v>
      </c>
      <c r="B27">
        <v>2428968</v>
      </c>
    </row>
    <row r="36" spans="1:2" x14ac:dyDescent="0.35">
      <c r="A36" s="2" t="s">
        <v>32</v>
      </c>
      <c r="B36" t="s">
        <v>35</v>
      </c>
    </row>
    <row r="37" spans="1:2" x14ac:dyDescent="0.35">
      <c r="A37" s="3" t="s">
        <v>15</v>
      </c>
      <c r="B37">
        <v>24</v>
      </c>
    </row>
    <row r="38" spans="1:2" x14ac:dyDescent="0.35">
      <c r="A38" s="3" t="s">
        <v>12</v>
      </c>
      <c r="B38">
        <v>48</v>
      </c>
    </row>
    <row r="39" spans="1:2" x14ac:dyDescent="0.35">
      <c r="A39" s="3" t="s">
        <v>10</v>
      </c>
      <c r="B39">
        <v>47</v>
      </c>
    </row>
    <row r="40" spans="1:2" x14ac:dyDescent="0.35">
      <c r="A40" s="3" t="s">
        <v>22</v>
      </c>
      <c r="B40">
        <v>49</v>
      </c>
    </row>
    <row r="41" spans="1:2" x14ac:dyDescent="0.35">
      <c r="A41" s="3" t="s">
        <v>18</v>
      </c>
      <c r="B41">
        <v>32</v>
      </c>
    </row>
    <row r="42" spans="1:2" x14ac:dyDescent="0.35">
      <c r="A42" s="3" t="s">
        <v>33</v>
      </c>
      <c r="B42">
        <v>200</v>
      </c>
    </row>
  </sheetData>
  <hyperlinks>
    <hyperlink ref="A1" location="'pivot tables'!A1" display="'pivot tables'!A1" xr:uid="{77E39031-B43D-46C3-A343-439521B76D1F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DC17-0A5D-44FC-A752-84D292DE173D}">
  <dimension ref="A1:I102"/>
  <sheetViews>
    <sheetView topLeftCell="A41" workbookViewId="0"/>
  </sheetViews>
  <sheetFormatPr defaultRowHeight="14.5" x14ac:dyDescent="0.35"/>
  <cols>
    <col min="1" max="1" width="15.26953125" customWidth="1"/>
    <col min="2" max="2" width="10.08984375" bestFit="1" customWidth="1"/>
    <col min="3" max="3" width="11" customWidth="1"/>
    <col min="4" max="4" width="10.453125" bestFit="1" customWidth="1"/>
    <col min="5" max="5" width="11" bestFit="1" customWidth="1"/>
    <col min="6" max="6" width="10.81640625" customWidth="1"/>
    <col min="7" max="7" width="10" customWidth="1"/>
    <col min="8" max="8" width="16.54296875" customWidth="1"/>
    <col min="9" max="9" width="13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</v>
      </c>
    </row>
    <row r="2" spans="1:9" x14ac:dyDescent="0.35">
      <c r="A2">
        <v>167</v>
      </c>
      <c r="B2" s="1">
        <v>45802</v>
      </c>
      <c r="C2" t="s">
        <v>21</v>
      </c>
      <c r="D2" t="s">
        <v>14</v>
      </c>
      <c r="E2" t="s">
        <v>12</v>
      </c>
      <c r="F2">
        <v>55981</v>
      </c>
      <c r="G2">
        <v>1</v>
      </c>
      <c r="H2">
        <v>4.0999999999999996</v>
      </c>
      <c r="I2" t="str">
        <f>_xlfn.XLOOKUP(Table1[[#This Row],[Product]],[1]product_Table!$A$2:$A$8,[1]product_Table!$B$2:$B$8)</f>
        <v>Electronics</v>
      </c>
    </row>
    <row r="3" spans="1:9" x14ac:dyDescent="0.35">
      <c r="A3">
        <v>158</v>
      </c>
      <c r="B3" s="1">
        <v>45700</v>
      </c>
      <c r="C3" t="s">
        <v>29</v>
      </c>
      <c r="D3" t="s">
        <v>9</v>
      </c>
      <c r="E3" t="s">
        <v>12</v>
      </c>
      <c r="F3">
        <v>55922</v>
      </c>
      <c r="G3">
        <v>3</v>
      </c>
      <c r="H3">
        <v>3.1</v>
      </c>
      <c r="I3" t="str">
        <f>_xlfn.XLOOKUP(Table1[[#This Row],[Product]],[1]product_Table!$A$2:$A$8,[1]product_Table!$B$2:$B$8)</f>
        <v>Electronics</v>
      </c>
    </row>
    <row r="4" spans="1:9" x14ac:dyDescent="0.35">
      <c r="A4">
        <v>180</v>
      </c>
      <c r="B4" s="1">
        <v>45660</v>
      </c>
      <c r="C4" t="s">
        <v>27</v>
      </c>
      <c r="D4" t="s">
        <v>9</v>
      </c>
      <c r="E4" t="s">
        <v>12</v>
      </c>
      <c r="F4">
        <v>55868</v>
      </c>
      <c r="G4">
        <v>3</v>
      </c>
      <c r="H4">
        <v>3.2</v>
      </c>
      <c r="I4" t="str">
        <f>_xlfn.XLOOKUP(Table1[[#This Row],[Product]],[1]product_Table!$A$2:$A$8,[1]product_Table!$B$2:$B$8)</f>
        <v>Electronics</v>
      </c>
    </row>
    <row r="5" spans="1:9" x14ac:dyDescent="0.35">
      <c r="A5">
        <v>133</v>
      </c>
      <c r="B5" s="1">
        <v>45661</v>
      </c>
      <c r="C5" t="s">
        <v>8</v>
      </c>
      <c r="D5" t="s">
        <v>25</v>
      </c>
      <c r="E5" t="s">
        <v>12</v>
      </c>
      <c r="F5">
        <v>55837</v>
      </c>
      <c r="G5">
        <v>3</v>
      </c>
      <c r="H5">
        <v>3.9</v>
      </c>
      <c r="I5" t="str">
        <f>_xlfn.XLOOKUP(Table1[[#This Row],[Product]],[1]product_Table!$A$2:$A$8,[1]product_Table!$B$2:$B$8)</f>
        <v>Electronics</v>
      </c>
    </row>
    <row r="6" spans="1:9" x14ac:dyDescent="0.35">
      <c r="A6">
        <v>156</v>
      </c>
      <c r="B6" s="1">
        <v>45797</v>
      </c>
      <c r="C6" t="s">
        <v>13</v>
      </c>
      <c r="D6" t="s">
        <v>24</v>
      </c>
      <c r="E6" t="s">
        <v>12</v>
      </c>
      <c r="F6">
        <v>55788</v>
      </c>
      <c r="G6">
        <v>3</v>
      </c>
      <c r="H6">
        <v>4</v>
      </c>
      <c r="I6" t="str">
        <f>_xlfn.XLOOKUP(Table1[[#This Row],[Product]],[1]product_Table!$A$2:$A$8,[1]product_Table!$B$2:$B$8)</f>
        <v>Electronics</v>
      </c>
    </row>
    <row r="7" spans="1:9" x14ac:dyDescent="0.35">
      <c r="A7">
        <v>134</v>
      </c>
      <c r="B7" s="1">
        <v>45799</v>
      </c>
      <c r="C7" t="s">
        <v>8</v>
      </c>
      <c r="D7" t="s">
        <v>26</v>
      </c>
      <c r="E7" t="s">
        <v>12</v>
      </c>
      <c r="F7">
        <v>55720</v>
      </c>
      <c r="G7">
        <v>2</v>
      </c>
      <c r="H7">
        <v>4.5</v>
      </c>
      <c r="I7" t="str">
        <f>_xlfn.XLOOKUP(Table1[[#This Row],[Product]],[1]product_Table!$A$2:$A$8,[1]product_Table!$B$2:$B$8)</f>
        <v>Electronics</v>
      </c>
    </row>
    <row r="8" spans="1:9" x14ac:dyDescent="0.35">
      <c r="A8">
        <v>172</v>
      </c>
      <c r="B8" s="1">
        <v>45725</v>
      </c>
      <c r="C8" t="s">
        <v>23</v>
      </c>
      <c r="D8" t="s">
        <v>9</v>
      </c>
      <c r="E8" t="s">
        <v>12</v>
      </c>
      <c r="F8">
        <v>55640</v>
      </c>
      <c r="G8">
        <v>1</v>
      </c>
      <c r="H8">
        <v>3.7</v>
      </c>
      <c r="I8" t="str">
        <f>_xlfn.XLOOKUP(Table1[[#This Row],[Product]],[1]product_Table!$A$2:$A$8,[1]product_Table!$B$2:$B$8)</f>
        <v>Electronics</v>
      </c>
    </row>
    <row r="9" spans="1:9" x14ac:dyDescent="0.35">
      <c r="A9">
        <v>168</v>
      </c>
      <c r="B9" s="1">
        <v>45792</v>
      </c>
      <c r="C9" t="s">
        <v>23</v>
      </c>
      <c r="D9" t="s">
        <v>17</v>
      </c>
      <c r="E9" t="s">
        <v>12</v>
      </c>
      <c r="F9">
        <v>55569</v>
      </c>
      <c r="G9">
        <v>3</v>
      </c>
      <c r="H9">
        <v>3.6</v>
      </c>
      <c r="I9" t="str">
        <f>_xlfn.XLOOKUP(Table1[[#This Row],[Product]],[1]product_Table!$A$2:$A$8,[1]product_Table!$B$2:$B$8)</f>
        <v>Electronics</v>
      </c>
    </row>
    <row r="10" spans="1:9" x14ac:dyDescent="0.35">
      <c r="A10">
        <v>143</v>
      </c>
      <c r="B10" s="1">
        <v>45698</v>
      </c>
      <c r="C10" t="s">
        <v>27</v>
      </c>
      <c r="D10" t="s">
        <v>28</v>
      </c>
      <c r="E10" t="s">
        <v>12</v>
      </c>
      <c r="F10">
        <v>55441</v>
      </c>
      <c r="G10">
        <v>2</v>
      </c>
      <c r="H10">
        <v>4.4000000000000004</v>
      </c>
      <c r="I10" t="str">
        <f>_xlfn.XLOOKUP(Table1[[#This Row],[Product]],[1]product_Table!$A$2:$A$8,[1]product_Table!$B$2:$B$8)</f>
        <v>Electronics</v>
      </c>
    </row>
    <row r="11" spans="1:9" x14ac:dyDescent="0.35">
      <c r="A11">
        <v>135</v>
      </c>
      <c r="B11" s="1">
        <v>45764</v>
      </c>
      <c r="C11" t="s">
        <v>16</v>
      </c>
      <c r="D11" t="s">
        <v>24</v>
      </c>
      <c r="E11" t="s">
        <v>12</v>
      </c>
      <c r="F11">
        <v>55339</v>
      </c>
      <c r="G11">
        <v>1</v>
      </c>
      <c r="H11">
        <v>4.4000000000000004</v>
      </c>
      <c r="I11" t="str">
        <f>_xlfn.XLOOKUP(Table1[[#This Row],[Product]],[1]product_Table!$A$2:$A$8,[1]product_Table!$B$2:$B$8)</f>
        <v>Electronics</v>
      </c>
    </row>
    <row r="12" spans="1:9" x14ac:dyDescent="0.35">
      <c r="A12">
        <v>111</v>
      </c>
      <c r="B12" s="1">
        <v>45729</v>
      </c>
      <c r="C12" t="s">
        <v>21</v>
      </c>
      <c r="D12" t="s">
        <v>26</v>
      </c>
      <c r="E12" t="s">
        <v>12</v>
      </c>
      <c r="F12">
        <v>55188</v>
      </c>
      <c r="G12">
        <v>2</v>
      </c>
      <c r="H12">
        <v>4.0999999999999996</v>
      </c>
      <c r="I12" t="str">
        <f>_xlfn.XLOOKUP(Table1[[#This Row],[Product]],[1]product_Table!$A$2:$A$8,[1]product_Table!$B$2:$B$8)</f>
        <v>Electronics</v>
      </c>
    </row>
    <row r="13" spans="1:9" x14ac:dyDescent="0.35">
      <c r="A13">
        <v>174</v>
      </c>
      <c r="B13" s="1">
        <v>45671</v>
      </c>
      <c r="C13" t="s">
        <v>11</v>
      </c>
      <c r="D13" t="s">
        <v>9</v>
      </c>
      <c r="E13" t="s">
        <v>12</v>
      </c>
      <c r="F13">
        <v>55136</v>
      </c>
      <c r="G13">
        <v>2</v>
      </c>
      <c r="H13">
        <v>4.9000000000000004</v>
      </c>
      <c r="I13" t="str">
        <f>_xlfn.XLOOKUP(Table1[[#This Row],[Product]],[1]product_Table!$A$2:$A$8,[1]product_Table!$B$2:$B$8)</f>
        <v>Electronics</v>
      </c>
    </row>
    <row r="14" spans="1:9" x14ac:dyDescent="0.35">
      <c r="A14">
        <v>170</v>
      </c>
      <c r="B14" s="1">
        <v>45711</v>
      </c>
      <c r="C14" t="s">
        <v>27</v>
      </c>
      <c r="D14" t="s">
        <v>26</v>
      </c>
      <c r="E14" t="s">
        <v>12</v>
      </c>
      <c r="F14">
        <v>55030</v>
      </c>
      <c r="G14">
        <v>3</v>
      </c>
      <c r="H14">
        <v>3.4</v>
      </c>
      <c r="I14" t="str">
        <f>_xlfn.XLOOKUP(Table1[[#This Row],[Product]],[1]product_Table!$A$2:$A$8,[1]product_Table!$B$2:$B$8)</f>
        <v>Electronics</v>
      </c>
    </row>
    <row r="15" spans="1:9" x14ac:dyDescent="0.35">
      <c r="A15">
        <v>101</v>
      </c>
      <c r="B15" s="1">
        <v>45683</v>
      </c>
      <c r="C15" t="s">
        <v>11</v>
      </c>
      <c r="D15" t="s">
        <v>9</v>
      </c>
      <c r="E15" t="s">
        <v>12</v>
      </c>
      <c r="F15">
        <v>54947</v>
      </c>
      <c r="G15">
        <v>1</v>
      </c>
      <c r="H15">
        <v>3.6</v>
      </c>
      <c r="I15" t="str">
        <f>_xlfn.XLOOKUP(Table1[[#This Row],[Product]],[1]product_Table!$A$2:$A$8,[1]product_Table!$B$2:$B$8)</f>
        <v>Electronics</v>
      </c>
    </row>
    <row r="16" spans="1:9" x14ac:dyDescent="0.35">
      <c r="A16">
        <v>104</v>
      </c>
      <c r="B16" s="1">
        <v>45782</v>
      </c>
      <c r="C16" t="s">
        <v>19</v>
      </c>
      <c r="D16" t="s">
        <v>20</v>
      </c>
      <c r="E16" t="s">
        <v>12</v>
      </c>
      <c r="F16">
        <v>54944</v>
      </c>
      <c r="G16">
        <v>3</v>
      </c>
      <c r="H16">
        <v>3.7</v>
      </c>
      <c r="I16" t="str">
        <f>_xlfn.XLOOKUP(Table1[[#This Row],[Product]],[1]product_Table!$A$2:$A$8,[1]product_Table!$B$2:$B$8)</f>
        <v>Electronics</v>
      </c>
    </row>
    <row r="17" spans="1:9" x14ac:dyDescent="0.35">
      <c r="A17">
        <v>157</v>
      </c>
      <c r="B17" s="1">
        <v>45775</v>
      </c>
      <c r="C17" t="s">
        <v>8</v>
      </c>
      <c r="D17" t="s">
        <v>20</v>
      </c>
      <c r="E17" t="s">
        <v>12</v>
      </c>
      <c r="F17">
        <v>54944</v>
      </c>
      <c r="G17">
        <v>3</v>
      </c>
      <c r="H17">
        <v>4.9000000000000004</v>
      </c>
      <c r="I17" t="str">
        <f>_xlfn.XLOOKUP(Table1[[#This Row],[Product]],[1]product_Table!$A$2:$A$8,[1]product_Table!$B$2:$B$8)</f>
        <v>Electronics</v>
      </c>
    </row>
    <row r="18" spans="1:9" x14ac:dyDescent="0.35">
      <c r="A18">
        <v>112</v>
      </c>
      <c r="B18" s="1">
        <v>45711</v>
      </c>
      <c r="C18" t="s">
        <v>21</v>
      </c>
      <c r="D18" t="s">
        <v>9</v>
      </c>
      <c r="E18" t="s">
        <v>12</v>
      </c>
      <c r="F18">
        <v>54937</v>
      </c>
      <c r="G18">
        <v>3</v>
      </c>
      <c r="H18">
        <v>3.6</v>
      </c>
      <c r="I18" t="str">
        <f>_xlfn.XLOOKUP(Table1[[#This Row],[Product]],[1]product_Table!$A$2:$A$8,[1]product_Table!$B$2:$B$8)</f>
        <v>Electronics</v>
      </c>
    </row>
    <row r="19" spans="1:9" x14ac:dyDescent="0.35">
      <c r="A19">
        <v>122</v>
      </c>
      <c r="B19" s="1">
        <v>45790</v>
      </c>
      <c r="C19" t="s">
        <v>16</v>
      </c>
      <c r="D19" t="s">
        <v>28</v>
      </c>
      <c r="E19" t="s">
        <v>12</v>
      </c>
      <c r="F19">
        <v>54895</v>
      </c>
      <c r="G19">
        <v>2</v>
      </c>
      <c r="H19">
        <v>4.7</v>
      </c>
      <c r="I19" t="str">
        <f>_xlfn.XLOOKUP(Table1[[#This Row],[Product]],[1]product_Table!$A$2:$A$8,[1]product_Table!$B$2:$B$8)</f>
        <v>Electronics</v>
      </c>
    </row>
    <row r="20" spans="1:9" x14ac:dyDescent="0.35">
      <c r="A20">
        <v>121</v>
      </c>
      <c r="B20" s="1">
        <v>45794</v>
      </c>
      <c r="C20" t="s">
        <v>21</v>
      </c>
      <c r="D20" t="s">
        <v>17</v>
      </c>
      <c r="E20" t="s">
        <v>12</v>
      </c>
      <c r="F20">
        <v>54740</v>
      </c>
      <c r="G20">
        <v>1</v>
      </c>
      <c r="H20">
        <v>3.6</v>
      </c>
      <c r="I20" t="str">
        <f>_xlfn.XLOOKUP(Table1[[#This Row],[Product]],[1]product_Table!$A$2:$A$8,[1]product_Table!$B$2:$B$8)</f>
        <v>Electronics</v>
      </c>
    </row>
    <row r="21" spans="1:9" x14ac:dyDescent="0.35">
      <c r="A21">
        <v>153</v>
      </c>
      <c r="B21" s="1">
        <v>45800</v>
      </c>
      <c r="C21" t="s">
        <v>16</v>
      </c>
      <c r="D21" t="s">
        <v>17</v>
      </c>
      <c r="E21" t="s">
        <v>12</v>
      </c>
      <c r="F21">
        <v>54717</v>
      </c>
      <c r="G21">
        <v>3</v>
      </c>
      <c r="H21">
        <v>4.0999999999999996</v>
      </c>
      <c r="I21" t="str">
        <f>_xlfn.XLOOKUP(Table1[[#This Row],[Product]],[1]product_Table!$A$2:$A$8,[1]product_Table!$B$2:$B$8)</f>
        <v>Electronics</v>
      </c>
    </row>
    <row r="22" spans="1:9" x14ac:dyDescent="0.35">
      <c r="A22">
        <v>118</v>
      </c>
      <c r="B22" s="1">
        <v>45798</v>
      </c>
      <c r="C22" t="s">
        <v>16</v>
      </c>
      <c r="D22" t="s">
        <v>9</v>
      </c>
      <c r="E22" t="s">
        <v>12</v>
      </c>
      <c r="F22">
        <v>54560</v>
      </c>
      <c r="G22">
        <v>1</v>
      </c>
      <c r="H22">
        <v>4.4000000000000004</v>
      </c>
      <c r="I22" t="str">
        <f>_xlfn.XLOOKUP(Table1[[#This Row],[Product]],[1]product_Table!$A$2:$A$8,[1]product_Table!$B$2:$B$8)</f>
        <v>Electronics</v>
      </c>
    </row>
    <row r="23" spans="1:9" x14ac:dyDescent="0.35">
      <c r="A23">
        <v>195</v>
      </c>
      <c r="B23" s="1">
        <v>45691</v>
      </c>
      <c r="C23" t="s">
        <v>8</v>
      </c>
      <c r="D23" t="s">
        <v>14</v>
      </c>
      <c r="E23" t="s">
        <v>12</v>
      </c>
      <c r="F23">
        <v>54513</v>
      </c>
      <c r="G23">
        <v>2</v>
      </c>
      <c r="H23">
        <v>4.7</v>
      </c>
      <c r="I23" t="str">
        <f>_xlfn.XLOOKUP(Table1[[#This Row],[Product]],[1]product_Table!$A$2:$A$8,[1]product_Table!$B$2:$B$8)</f>
        <v>Electronics</v>
      </c>
    </row>
    <row r="24" spans="1:9" x14ac:dyDescent="0.35">
      <c r="A24">
        <v>194</v>
      </c>
      <c r="B24" s="1">
        <v>45724</v>
      </c>
      <c r="C24" t="s">
        <v>19</v>
      </c>
      <c r="D24" t="s">
        <v>26</v>
      </c>
      <c r="E24" t="s">
        <v>10</v>
      </c>
      <c r="F24">
        <v>25991</v>
      </c>
      <c r="G24">
        <v>3</v>
      </c>
      <c r="H24">
        <v>3.1</v>
      </c>
      <c r="I24" t="str">
        <f>_xlfn.XLOOKUP(Table1[[#This Row],[Product]],[1]product_Table!$A$2:$A$8,[1]product_Table!$B$2:$B$8)</f>
        <v>Electronics</v>
      </c>
    </row>
    <row r="25" spans="1:9" x14ac:dyDescent="0.35">
      <c r="A25">
        <v>176</v>
      </c>
      <c r="B25" s="1">
        <v>45772</v>
      </c>
      <c r="C25" t="s">
        <v>29</v>
      </c>
      <c r="D25" t="s">
        <v>28</v>
      </c>
      <c r="E25" t="s">
        <v>10</v>
      </c>
      <c r="F25">
        <v>25867</v>
      </c>
      <c r="G25">
        <v>2</v>
      </c>
      <c r="H25">
        <v>3.3</v>
      </c>
      <c r="I25" t="str">
        <f>_xlfn.XLOOKUP(Table1[[#This Row],[Product]],[1]product_Table!$A$2:$A$8,[1]product_Table!$B$2:$B$8)</f>
        <v>Electronics</v>
      </c>
    </row>
    <row r="26" spans="1:9" x14ac:dyDescent="0.35">
      <c r="A26">
        <v>100</v>
      </c>
      <c r="B26" s="1">
        <v>45713</v>
      </c>
      <c r="C26" t="s">
        <v>8</v>
      </c>
      <c r="D26" t="s">
        <v>9</v>
      </c>
      <c r="E26" t="s">
        <v>10</v>
      </c>
      <c r="F26">
        <v>25846</v>
      </c>
      <c r="G26">
        <v>1</v>
      </c>
      <c r="H26">
        <v>4.9000000000000004</v>
      </c>
      <c r="I26" t="str">
        <f>_xlfn.XLOOKUP(Table1[[#This Row],[Product]],[1]product_Table!$A$2:$A$8,[1]product_Table!$B$2:$B$8)</f>
        <v>Electronics</v>
      </c>
    </row>
    <row r="27" spans="1:9" x14ac:dyDescent="0.35">
      <c r="A27">
        <v>141</v>
      </c>
      <c r="B27" s="1">
        <v>45768</v>
      </c>
      <c r="C27" t="s">
        <v>16</v>
      </c>
      <c r="D27" t="s">
        <v>28</v>
      </c>
      <c r="E27" t="s">
        <v>10</v>
      </c>
      <c r="F27">
        <v>25625</v>
      </c>
      <c r="G27">
        <v>1</v>
      </c>
      <c r="H27">
        <v>3.3</v>
      </c>
      <c r="I27" t="str">
        <f>_xlfn.XLOOKUP(Table1[[#This Row],[Product]],[1]product_Table!$A$2:$A$8,[1]product_Table!$B$2:$B$8)</f>
        <v>Electronics</v>
      </c>
    </row>
    <row r="28" spans="1:9" x14ac:dyDescent="0.35">
      <c r="A28">
        <v>177</v>
      </c>
      <c r="B28" s="1">
        <v>45789</v>
      </c>
      <c r="C28" t="s">
        <v>13</v>
      </c>
      <c r="D28" t="s">
        <v>28</v>
      </c>
      <c r="E28" t="s">
        <v>10</v>
      </c>
      <c r="F28">
        <v>25599</v>
      </c>
      <c r="G28">
        <v>1</v>
      </c>
      <c r="H28">
        <v>4.7</v>
      </c>
      <c r="I28" t="str">
        <f>_xlfn.XLOOKUP(Table1[[#This Row],[Product]],[1]product_Table!$A$2:$A$8,[1]product_Table!$B$2:$B$8)</f>
        <v>Electronics</v>
      </c>
    </row>
    <row r="29" spans="1:9" x14ac:dyDescent="0.35">
      <c r="A29">
        <v>129</v>
      </c>
      <c r="B29" s="1">
        <v>45745</v>
      </c>
      <c r="C29" t="s">
        <v>19</v>
      </c>
      <c r="D29" t="s">
        <v>20</v>
      </c>
      <c r="E29" t="s">
        <v>10</v>
      </c>
      <c r="F29">
        <v>25489</v>
      </c>
      <c r="G29">
        <v>2</v>
      </c>
      <c r="H29">
        <v>4.4000000000000004</v>
      </c>
      <c r="I29" t="str">
        <f>_xlfn.XLOOKUP(Table1[[#This Row],[Product]],[1]product_Table!$A$2:$A$8,[1]product_Table!$B$2:$B$8)</f>
        <v>Electronics</v>
      </c>
    </row>
    <row r="30" spans="1:9" x14ac:dyDescent="0.35">
      <c r="A30">
        <v>162</v>
      </c>
      <c r="B30" s="1">
        <v>45719</v>
      </c>
      <c r="C30" t="s">
        <v>11</v>
      </c>
      <c r="D30" t="s">
        <v>25</v>
      </c>
      <c r="E30" t="s">
        <v>10</v>
      </c>
      <c r="F30">
        <v>25463</v>
      </c>
      <c r="G30">
        <v>2</v>
      </c>
      <c r="H30">
        <v>4.0999999999999996</v>
      </c>
      <c r="I30" t="str">
        <f>_xlfn.XLOOKUP(Table1[[#This Row],[Product]],[1]product_Table!$A$2:$A$8,[1]product_Table!$B$2:$B$8)</f>
        <v>Electronics</v>
      </c>
    </row>
    <row r="31" spans="1:9" x14ac:dyDescent="0.35">
      <c r="A31">
        <v>128</v>
      </c>
      <c r="B31" s="1">
        <v>45774</v>
      </c>
      <c r="C31" t="s">
        <v>13</v>
      </c>
      <c r="D31" t="s">
        <v>17</v>
      </c>
      <c r="E31" t="s">
        <v>10</v>
      </c>
      <c r="F31">
        <v>25422</v>
      </c>
      <c r="G31">
        <v>2</v>
      </c>
      <c r="H31">
        <v>4.5</v>
      </c>
      <c r="I31" t="str">
        <f>_xlfn.XLOOKUP(Table1[[#This Row],[Product]],[1]product_Table!$A$2:$A$8,[1]product_Table!$B$2:$B$8)</f>
        <v>Electronics</v>
      </c>
    </row>
    <row r="32" spans="1:9" x14ac:dyDescent="0.35">
      <c r="A32">
        <v>139</v>
      </c>
      <c r="B32" s="1">
        <v>45721</v>
      </c>
      <c r="C32" t="s">
        <v>16</v>
      </c>
      <c r="D32" t="s">
        <v>26</v>
      </c>
      <c r="E32" t="s">
        <v>10</v>
      </c>
      <c r="F32">
        <v>25390</v>
      </c>
      <c r="G32">
        <v>2</v>
      </c>
      <c r="H32">
        <v>3.6</v>
      </c>
      <c r="I32" t="str">
        <f>_xlfn.XLOOKUP(Table1[[#This Row],[Product]],[1]product_Table!$A$2:$A$8,[1]product_Table!$B$2:$B$8)</f>
        <v>Electronics</v>
      </c>
    </row>
    <row r="33" spans="1:9" x14ac:dyDescent="0.35">
      <c r="A33">
        <v>175</v>
      </c>
      <c r="B33" s="1">
        <v>45744</v>
      </c>
      <c r="C33" t="s">
        <v>8</v>
      </c>
      <c r="D33" t="s">
        <v>14</v>
      </c>
      <c r="E33" t="s">
        <v>10</v>
      </c>
      <c r="F33">
        <v>25381</v>
      </c>
      <c r="G33">
        <v>1</v>
      </c>
      <c r="H33">
        <v>4.5</v>
      </c>
      <c r="I33" t="str">
        <f>_xlfn.XLOOKUP(Table1[[#This Row],[Product]],[1]product_Table!$A$2:$A$8,[1]product_Table!$B$2:$B$8)</f>
        <v>Electronics</v>
      </c>
    </row>
    <row r="34" spans="1:9" x14ac:dyDescent="0.35">
      <c r="A34">
        <v>147</v>
      </c>
      <c r="B34" s="1">
        <v>45715</v>
      </c>
      <c r="C34" t="s">
        <v>21</v>
      </c>
      <c r="D34" t="s">
        <v>14</v>
      </c>
      <c r="E34" t="s">
        <v>10</v>
      </c>
      <c r="F34">
        <v>25275</v>
      </c>
      <c r="G34">
        <v>1</v>
      </c>
      <c r="H34">
        <v>4.2</v>
      </c>
      <c r="I34" t="str">
        <f>_xlfn.XLOOKUP(Table1[[#This Row],[Product]],[1]product_Table!$A$2:$A$8,[1]product_Table!$B$2:$B$8)</f>
        <v>Electronics</v>
      </c>
    </row>
    <row r="35" spans="1:9" x14ac:dyDescent="0.35">
      <c r="A35">
        <v>106</v>
      </c>
      <c r="B35" s="1">
        <v>45771</v>
      </c>
      <c r="C35" t="s">
        <v>21</v>
      </c>
      <c r="D35" t="s">
        <v>20</v>
      </c>
      <c r="E35" t="s">
        <v>10</v>
      </c>
      <c r="F35">
        <v>25254</v>
      </c>
      <c r="G35">
        <v>3</v>
      </c>
      <c r="H35">
        <v>3.5</v>
      </c>
      <c r="I35" t="str">
        <f>_xlfn.XLOOKUP(Table1[[#This Row],[Product]],[1]product_Table!$A$2:$A$8,[1]product_Table!$B$2:$B$8)</f>
        <v>Electronics</v>
      </c>
    </row>
    <row r="36" spans="1:9" x14ac:dyDescent="0.35">
      <c r="A36">
        <v>132</v>
      </c>
      <c r="B36" s="1">
        <v>45704</v>
      </c>
      <c r="C36" t="s">
        <v>30</v>
      </c>
      <c r="D36" t="s">
        <v>17</v>
      </c>
      <c r="E36" t="s">
        <v>10</v>
      </c>
      <c r="F36">
        <v>25236</v>
      </c>
      <c r="G36">
        <v>3</v>
      </c>
      <c r="H36">
        <v>3.2</v>
      </c>
      <c r="I36" t="str">
        <f>_xlfn.XLOOKUP(Table1[[#This Row],[Product]],[1]product_Table!$A$2:$A$8,[1]product_Table!$B$2:$B$8)</f>
        <v>Electronics</v>
      </c>
    </row>
    <row r="37" spans="1:9" x14ac:dyDescent="0.35">
      <c r="A37">
        <v>142</v>
      </c>
      <c r="B37" s="1">
        <v>45766</v>
      </c>
      <c r="C37" t="s">
        <v>16</v>
      </c>
      <c r="D37" t="s">
        <v>14</v>
      </c>
      <c r="E37" t="s">
        <v>10</v>
      </c>
      <c r="F37">
        <v>25202</v>
      </c>
      <c r="G37">
        <v>1</v>
      </c>
      <c r="H37">
        <v>4.0999999999999996</v>
      </c>
      <c r="I37" t="str">
        <f>_xlfn.XLOOKUP(Table1[[#This Row],[Product]],[1]product_Table!$A$2:$A$8,[1]product_Table!$B$2:$B$8)</f>
        <v>Electronics</v>
      </c>
    </row>
    <row r="38" spans="1:9" x14ac:dyDescent="0.35">
      <c r="A38">
        <v>179</v>
      </c>
      <c r="B38" s="1">
        <v>45684</v>
      </c>
      <c r="C38" t="s">
        <v>21</v>
      </c>
      <c r="D38" t="s">
        <v>24</v>
      </c>
      <c r="E38" t="s">
        <v>10</v>
      </c>
      <c r="F38">
        <v>25193</v>
      </c>
      <c r="G38">
        <v>1</v>
      </c>
      <c r="H38">
        <v>4.7</v>
      </c>
      <c r="I38" t="str">
        <f>_xlfn.XLOOKUP(Table1[[#This Row],[Product]],[1]product_Table!$A$2:$A$8,[1]product_Table!$B$2:$B$8)</f>
        <v>Electronics</v>
      </c>
    </row>
    <row r="39" spans="1:9" x14ac:dyDescent="0.35">
      <c r="A39">
        <v>152</v>
      </c>
      <c r="B39" s="1">
        <v>45763</v>
      </c>
      <c r="C39" t="s">
        <v>8</v>
      </c>
      <c r="D39" t="s">
        <v>28</v>
      </c>
      <c r="E39" t="s">
        <v>10</v>
      </c>
      <c r="F39">
        <v>25089</v>
      </c>
      <c r="G39">
        <v>3</v>
      </c>
      <c r="H39">
        <v>5</v>
      </c>
      <c r="I39" t="str">
        <f>_xlfn.XLOOKUP(Table1[[#This Row],[Product]],[1]product_Table!$A$2:$A$8,[1]product_Table!$B$2:$B$8)</f>
        <v>Electronics</v>
      </c>
    </row>
    <row r="40" spans="1:9" x14ac:dyDescent="0.35">
      <c r="A40">
        <v>151</v>
      </c>
      <c r="B40" s="1">
        <v>45775</v>
      </c>
      <c r="C40" t="s">
        <v>16</v>
      </c>
      <c r="D40" t="s">
        <v>28</v>
      </c>
      <c r="E40" t="s">
        <v>10</v>
      </c>
      <c r="F40">
        <v>25080</v>
      </c>
      <c r="G40">
        <v>3</v>
      </c>
      <c r="H40">
        <v>4.7</v>
      </c>
      <c r="I40" t="str">
        <f>_xlfn.XLOOKUP(Table1[[#This Row],[Product]],[1]product_Table!$A$2:$A$8,[1]product_Table!$B$2:$B$8)</f>
        <v>Electronics</v>
      </c>
    </row>
    <row r="41" spans="1:9" x14ac:dyDescent="0.35">
      <c r="A41">
        <v>136</v>
      </c>
      <c r="B41" s="1">
        <v>45705</v>
      </c>
      <c r="C41" t="s">
        <v>30</v>
      </c>
      <c r="D41" t="s">
        <v>9</v>
      </c>
      <c r="E41" t="s">
        <v>10</v>
      </c>
      <c r="F41">
        <v>25049</v>
      </c>
      <c r="G41">
        <v>2</v>
      </c>
      <c r="H41">
        <v>3.9</v>
      </c>
      <c r="I41" t="str">
        <f>_xlfn.XLOOKUP(Table1[[#This Row],[Product]],[1]product_Table!$A$2:$A$8,[1]product_Table!$B$2:$B$8)</f>
        <v>Electronics</v>
      </c>
    </row>
    <row r="42" spans="1:9" x14ac:dyDescent="0.35">
      <c r="A42">
        <v>114</v>
      </c>
      <c r="B42" s="1">
        <v>45710</v>
      </c>
      <c r="C42" t="s">
        <v>19</v>
      </c>
      <c r="D42" t="s">
        <v>24</v>
      </c>
      <c r="E42" t="s">
        <v>10</v>
      </c>
      <c r="F42">
        <v>24964</v>
      </c>
      <c r="G42">
        <v>3</v>
      </c>
      <c r="H42">
        <v>4.2</v>
      </c>
      <c r="I42" t="str">
        <f>_xlfn.XLOOKUP(Table1[[#This Row],[Product]],[1]product_Table!$A$2:$A$8,[1]product_Table!$B$2:$B$8)</f>
        <v>Electronics</v>
      </c>
    </row>
    <row r="43" spans="1:9" x14ac:dyDescent="0.35">
      <c r="A43">
        <v>160</v>
      </c>
      <c r="B43" s="1">
        <v>45749</v>
      </c>
      <c r="C43" t="s">
        <v>11</v>
      </c>
      <c r="D43" t="s">
        <v>26</v>
      </c>
      <c r="E43" t="s">
        <v>10</v>
      </c>
      <c r="F43">
        <v>24880</v>
      </c>
      <c r="G43">
        <v>2</v>
      </c>
      <c r="H43">
        <v>4.4000000000000004</v>
      </c>
      <c r="I43" t="str">
        <f>_xlfn.XLOOKUP(Table1[[#This Row],[Product]],[1]product_Table!$A$2:$A$8,[1]product_Table!$B$2:$B$8)</f>
        <v>Electronics</v>
      </c>
    </row>
    <row r="44" spans="1:9" x14ac:dyDescent="0.35">
      <c r="A44">
        <v>185</v>
      </c>
      <c r="B44" s="1">
        <v>45749</v>
      </c>
      <c r="C44" t="s">
        <v>11</v>
      </c>
      <c r="D44" t="s">
        <v>14</v>
      </c>
      <c r="E44" t="s">
        <v>10</v>
      </c>
      <c r="F44">
        <v>24767</v>
      </c>
      <c r="G44">
        <v>2</v>
      </c>
      <c r="H44">
        <v>3.1</v>
      </c>
      <c r="I44" t="str">
        <f>_xlfn.XLOOKUP(Table1[[#This Row],[Product]],[1]product_Table!$A$2:$A$8,[1]product_Table!$B$2:$B$8)</f>
        <v>Electronics</v>
      </c>
    </row>
    <row r="45" spans="1:9" x14ac:dyDescent="0.35">
      <c r="A45">
        <v>124</v>
      </c>
      <c r="B45" s="1">
        <v>45697</v>
      </c>
      <c r="C45" t="s">
        <v>16</v>
      </c>
      <c r="D45" t="s">
        <v>20</v>
      </c>
      <c r="E45" t="s">
        <v>10</v>
      </c>
      <c r="F45">
        <v>24665</v>
      </c>
      <c r="G45">
        <v>2</v>
      </c>
      <c r="H45">
        <v>3.3</v>
      </c>
      <c r="I45" t="str">
        <f>_xlfn.XLOOKUP(Table1[[#This Row],[Product]],[1]product_Table!$A$2:$A$8,[1]product_Table!$B$2:$B$8)</f>
        <v>Electronics</v>
      </c>
    </row>
    <row r="46" spans="1:9" x14ac:dyDescent="0.35">
      <c r="A46">
        <v>191</v>
      </c>
      <c r="B46" s="1">
        <v>45770</v>
      </c>
      <c r="C46" t="s">
        <v>11</v>
      </c>
      <c r="D46" t="s">
        <v>9</v>
      </c>
      <c r="E46" t="s">
        <v>10</v>
      </c>
      <c r="F46">
        <v>24658</v>
      </c>
      <c r="G46">
        <v>2</v>
      </c>
      <c r="H46">
        <v>4.7</v>
      </c>
      <c r="I46" t="str">
        <f>_xlfn.XLOOKUP(Table1[[#This Row],[Product]],[1]product_Table!$A$2:$A$8,[1]product_Table!$B$2:$B$8)</f>
        <v>Electronics</v>
      </c>
    </row>
    <row r="47" spans="1:9" x14ac:dyDescent="0.35">
      <c r="A47">
        <v>186</v>
      </c>
      <c r="B47" s="1">
        <v>45753</v>
      </c>
      <c r="C47" t="s">
        <v>16</v>
      </c>
      <c r="D47" t="s">
        <v>25</v>
      </c>
      <c r="E47" t="s">
        <v>10</v>
      </c>
      <c r="F47">
        <v>24591</v>
      </c>
      <c r="G47">
        <v>1</v>
      </c>
      <c r="H47">
        <v>4.5</v>
      </c>
      <c r="I47" t="str">
        <f>_xlfn.XLOOKUP(Table1[[#This Row],[Product]],[1]product_Table!$A$2:$A$8,[1]product_Table!$B$2:$B$8)</f>
        <v>Electronics</v>
      </c>
    </row>
    <row r="48" spans="1:9" x14ac:dyDescent="0.35">
      <c r="A48">
        <v>113</v>
      </c>
      <c r="B48" s="1">
        <v>45746</v>
      </c>
      <c r="C48" t="s">
        <v>27</v>
      </c>
      <c r="D48" t="s">
        <v>14</v>
      </c>
      <c r="E48" t="s">
        <v>10</v>
      </c>
      <c r="F48">
        <v>24516</v>
      </c>
      <c r="G48">
        <v>1</v>
      </c>
      <c r="H48">
        <v>5</v>
      </c>
      <c r="I48" t="str">
        <f>_xlfn.XLOOKUP(Table1[[#This Row],[Product]],[1]product_Table!$A$2:$A$8,[1]product_Table!$B$2:$B$8)</f>
        <v>Electronics</v>
      </c>
    </row>
    <row r="49" spans="1:9" x14ac:dyDescent="0.35">
      <c r="A49">
        <v>146</v>
      </c>
      <c r="B49" s="1">
        <v>45700</v>
      </c>
      <c r="C49" t="s">
        <v>27</v>
      </c>
      <c r="D49" t="s">
        <v>20</v>
      </c>
      <c r="E49" t="s">
        <v>18</v>
      </c>
      <c r="F49">
        <v>15977</v>
      </c>
      <c r="G49">
        <v>3</v>
      </c>
      <c r="H49">
        <v>3.6</v>
      </c>
      <c r="I49" t="str">
        <f>_xlfn.XLOOKUP(Table1[[#This Row],[Product]],[1]product_Table!$A$2:$A$8,[1]product_Table!$B$2:$B$8)</f>
        <v>Gadgets</v>
      </c>
    </row>
    <row r="50" spans="1:9" x14ac:dyDescent="0.35">
      <c r="A50">
        <v>169</v>
      </c>
      <c r="B50" s="1">
        <v>45689</v>
      </c>
      <c r="C50" t="s">
        <v>21</v>
      </c>
      <c r="D50" t="s">
        <v>24</v>
      </c>
      <c r="E50" t="s">
        <v>18</v>
      </c>
      <c r="F50">
        <v>15914</v>
      </c>
      <c r="G50">
        <v>1</v>
      </c>
      <c r="H50">
        <v>3.6</v>
      </c>
      <c r="I50" t="str">
        <f>_xlfn.XLOOKUP(Table1[[#This Row],[Product]],[1]product_Table!$A$2:$A$8,[1]product_Table!$B$2:$B$8)</f>
        <v>Gadgets</v>
      </c>
    </row>
    <row r="51" spans="1:9" x14ac:dyDescent="0.35">
      <c r="A51">
        <v>103</v>
      </c>
      <c r="B51" s="1">
        <v>45726</v>
      </c>
      <c r="C51" t="s">
        <v>16</v>
      </c>
      <c r="D51" t="s">
        <v>17</v>
      </c>
      <c r="E51" t="s">
        <v>18</v>
      </c>
      <c r="F51">
        <v>15913</v>
      </c>
      <c r="G51">
        <v>3</v>
      </c>
      <c r="H51">
        <v>3.4</v>
      </c>
      <c r="I51" t="str">
        <f>_xlfn.XLOOKUP(Table1[[#This Row],[Product]],[1]product_Table!$A$2:$A$8,[1]product_Table!$B$2:$B$8)</f>
        <v>Gadgets</v>
      </c>
    </row>
    <row r="52" spans="1:9" x14ac:dyDescent="0.35">
      <c r="A52">
        <v>193</v>
      </c>
      <c r="B52" s="1">
        <v>45668</v>
      </c>
      <c r="C52" t="s">
        <v>8</v>
      </c>
      <c r="D52" t="s">
        <v>25</v>
      </c>
      <c r="E52" t="s">
        <v>18</v>
      </c>
      <c r="F52">
        <v>15891</v>
      </c>
      <c r="G52">
        <v>2</v>
      </c>
      <c r="H52">
        <v>3.3</v>
      </c>
      <c r="I52" t="str">
        <f>_xlfn.XLOOKUP(Table1[[#This Row],[Product]],[1]product_Table!$A$2:$A$8,[1]product_Table!$B$2:$B$8)</f>
        <v>Gadgets</v>
      </c>
    </row>
    <row r="53" spans="1:9" x14ac:dyDescent="0.35">
      <c r="A53">
        <v>137</v>
      </c>
      <c r="B53" s="1">
        <v>45743</v>
      </c>
      <c r="C53" t="s">
        <v>29</v>
      </c>
      <c r="D53" t="s">
        <v>9</v>
      </c>
      <c r="E53" t="s">
        <v>18</v>
      </c>
      <c r="F53">
        <v>15880</v>
      </c>
      <c r="G53">
        <v>2</v>
      </c>
      <c r="H53">
        <v>4</v>
      </c>
      <c r="I53" t="str">
        <f>_xlfn.XLOOKUP(Table1[[#This Row],[Product]],[1]product_Table!$A$2:$A$8,[1]product_Table!$B$2:$B$8)</f>
        <v>Gadgets</v>
      </c>
    </row>
    <row r="54" spans="1:9" x14ac:dyDescent="0.35">
      <c r="A54">
        <v>116</v>
      </c>
      <c r="B54" s="1">
        <v>45671</v>
      </c>
      <c r="C54" t="s">
        <v>13</v>
      </c>
      <c r="D54" t="s">
        <v>17</v>
      </c>
      <c r="E54" t="s">
        <v>18</v>
      </c>
      <c r="F54">
        <v>15877</v>
      </c>
      <c r="G54">
        <v>2</v>
      </c>
      <c r="H54">
        <v>4.7</v>
      </c>
      <c r="I54" t="str">
        <f>_xlfn.XLOOKUP(Table1[[#This Row],[Product]],[1]product_Table!$A$2:$A$8,[1]product_Table!$B$2:$B$8)</f>
        <v>Gadgets</v>
      </c>
    </row>
    <row r="55" spans="1:9" x14ac:dyDescent="0.35">
      <c r="A55">
        <v>109</v>
      </c>
      <c r="B55" s="1">
        <v>45790</v>
      </c>
      <c r="C55" t="s">
        <v>23</v>
      </c>
      <c r="D55" t="s">
        <v>24</v>
      </c>
      <c r="E55" t="s">
        <v>18</v>
      </c>
      <c r="F55">
        <v>15779</v>
      </c>
      <c r="G55">
        <v>1</v>
      </c>
      <c r="H55">
        <v>4.3</v>
      </c>
      <c r="I55" t="str">
        <f>_xlfn.XLOOKUP(Table1[[#This Row],[Product]],[1]product_Table!$A$2:$A$8,[1]product_Table!$B$2:$B$8)</f>
        <v>Gadgets</v>
      </c>
    </row>
    <row r="56" spans="1:9" x14ac:dyDescent="0.35">
      <c r="A56">
        <v>196</v>
      </c>
      <c r="B56" s="1">
        <v>45696</v>
      </c>
      <c r="C56" t="s">
        <v>21</v>
      </c>
      <c r="D56" t="s">
        <v>24</v>
      </c>
      <c r="E56" t="s">
        <v>18</v>
      </c>
      <c r="F56">
        <v>15754</v>
      </c>
      <c r="G56">
        <v>2</v>
      </c>
      <c r="H56">
        <v>3.5</v>
      </c>
      <c r="I56" t="str">
        <f>_xlfn.XLOOKUP(Table1[[#This Row],[Product]],[1]product_Table!$A$2:$A$8,[1]product_Table!$B$2:$B$8)</f>
        <v>Gadgets</v>
      </c>
    </row>
    <row r="57" spans="1:9" x14ac:dyDescent="0.35">
      <c r="A57">
        <v>144</v>
      </c>
      <c r="B57" s="1">
        <v>45710</v>
      </c>
      <c r="C57" t="s">
        <v>19</v>
      </c>
      <c r="D57" t="s">
        <v>20</v>
      </c>
      <c r="E57" t="s">
        <v>18</v>
      </c>
      <c r="F57">
        <v>15750</v>
      </c>
      <c r="G57">
        <v>1</v>
      </c>
      <c r="H57">
        <v>3.5</v>
      </c>
      <c r="I57" t="str">
        <f>_xlfn.XLOOKUP(Table1[[#This Row],[Product]],[1]product_Table!$A$2:$A$8,[1]product_Table!$B$2:$B$8)</f>
        <v>Gadgets</v>
      </c>
    </row>
    <row r="58" spans="1:9" x14ac:dyDescent="0.35">
      <c r="A58">
        <v>148</v>
      </c>
      <c r="B58" s="1">
        <v>45785</v>
      </c>
      <c r="C58" t="s">
        <v>29</v>
      </c>
      <c r="D58" t="s">
        <v>14</v>
      </c>
      <c r="E58" t="s">
        <v>18</v>
      </c>
      <c r="F58">
        <v>15633</v>
      </c>
      <c r="G58">
        <v>2</v>
      </c>
      <c r="H58">
        <v>3.4</v>
      </c>
      <c r="I58" t="str">
        <f>_xlfn.XLOOKUP(Table1[[#This Row],[Product]],[1]product_Table!$A$2:$A$8,[1]product_Table!$B$2:$B$8)</f>
        <v>Gadgets</v>
      </c>
    </row>
    <row r="59" spans="1:9" x14ac:dyDescent="0.35">
      <c r="A59">
        <v>164</v>
      </c>
      <c r="B59" s="1">
        <v>45743</v>
      </c>
      <c r="C59" t="s">
        <v>23</v>
      </c>
      <c r="D59" t="s">
        <v>20</v>
      </c>
      <c r="E59" t="s">
        <v>18</v>
      </c>
      <c r="F59">
        <v>15567</v>
      </c>
      <c r="G59">
        <v>1</v>
      </c>
      <c r="H59">
        <v>3.3</v>
      </c>
      <c r="I59" t="str">
        <f>_xlfn.XLOOKUP(Table1[[#This Row],[Product]],[1]product_Table!$A$2:$A$8,[1]product_Table!$B$2:$B$8)</f>
        <v>Gadgets</v>
      </c>
    </row>
    <row r="60" spans="1:9" x14ac:dyDescent="0.35">
      <c r="A60">
        <v>126</v>
      </c>
      <c r="B60" s="1">
        <v>45659</v>
      </c>
      <c r="C60" t="s">
        <v>21</v>
      </c>
      <c r="D60" t="s">
        <v>26</v>
      </c>
      <c r="E60" t="s">
        <v>18</v>
      </c>
      <c r="F60">
        <v>15332</v>
      </c>
      <c r="G60">
        <v>1</v>
      </c>
      <c r="H60">
        <v>4.9000000000000004</v>
      </c>
      <c r="I60" t="str">
        <f>_xlfn.XLOOKUP(Table1[[#This Row],[Product]],[1]product_Table!$A$2:$A$8,[1]product_Table!$B$2:$B$8)</f>
        <v>Gadgets</v>
      </c>
    </row>
    <row r="61" spans="1:9" x14ac:dyDescent="0.35">
      <c r="A61">
        <v>145</v>
      </c>
      <c r="B61" s="1">
        <v>45770</v>
      </c>
      <c r="C61" t="s">
        <v>29</v>
      </c>
      <c r="D61" t="s">
        <v>14</v>
      </c>
      <c r="E61" t="s">
        <v>18</v>
      </c>
      <c r="F61">
        <v>15142</v>
      </c>
      <c r="G61">
        <v>1</v>
      </c>
      <c r="H61">
        <v>3.5</v>
      </c>
      <c r="I61" t="str">
        <f>_xlfn.XLOOKUP(Table1[[#This Row],[Product]],[1]product_Table!$A$2:$A$8,[1]product_Table!$B$2:$B$8)</f>
        <v>Gadgets</v>
      </c>
    </row>
    <row r="62" spans="1:9" x14ac:dyDescent="0.35">
      <c r="A62">
        <v>187</v>
      </c>
      <c r="B62" s="1">
        <v>45767</v>
      </c>
      <c r="C62" t="s">
        <v>21</v>
      </c>
      <c r="D62" t="s">
        <v>28</v>
      </c>
      <c r="E62" t="s">
        <v>18</v>
      </c>
      <c r="F62">
        <v>15138</v>
      </c>
      <c r="G62">
        <v>3</v>
      </c>
      <c r="H62">
        <v>4.8</v>
      </c>
      <c r="I62" t="str">
        <f>_xlfn.XLOOKUP(Table1[[#This Row],[Product]],[1]product_Table!$A$2:$A$8,[1]product_Table!$B$2:$B$8)</f>
        <v>Gadgets</v>
      </c>
    </row>
    <row r="63" spans="1:9" x14ac:dyDescent="0.35">
      <c r="A63">
        <v>150</v>
      </c>
      <c r="B63" s="1">
        <v>45725</v>
      </c>
      <c r="C63" t="s">
        <v>29</v>
      </c>
      <c r="D63" t="s">
        <v>17</v>
      </c>
      <c r="E63" t="s">
        <v>18</v>
      </c>
      <c r="F63">
        <v>14992</v>
      </c>
      <c r="G63">
        <v>2</v>
      </c>
      <c r="H63">
        <v>4.4000000000000004</v>
      </c>
      <c r="I63" t="str">
        <f>_xlfn.XLOOKUP(Table1[[#This Row],[Product]],[1]product_Table!$A$2:$A$8,[1]product_Table!$B$2:$B$8)</f>
        <v>Gadgets</v>
      </c>
    </row>
    <row r="64" spans="1:9" x14ac:dyDescent="0.35">
      <c r="A64">
        <v>173</v>
      </c>
      <c r="B64" s="1">
        <v>45730</v>
      </c>
      <c r="C64" t="s">
        <v>11</v>
      </c>
      <c r="D64" t="s">
        <v>25</v>
      </c>
      <c r="E64" t="s">
        <v>18</v>
      </c>
      <c r="F64">
        <v>14898</v>
      </c>
      <c r="G64">
        <v>1</v>
      </c>
      <c r="H64">
        <v>4.0999999999999996</v>
      </c>
      <c r="I64" t="str">
        <f>_xlfn.XLOOKUP(Table1[[#This Row],[Product]],[1]product_Table!$A$2:$A$8,[1]product_Table!$B$2:$B$8)</f>
        <v>Gadgets</v>
      </c>
    </row>
    <row r="65" spans="1:9" x14ac:dyDescent="0.35">
      <c r="A65">
        <v>123</v>
      </c>
      <c r="B65" s="1">
        <v>45724</v>
      </c>
      <c r="C65" t="s">
        <v>27</v>
      </c>
      <c r="D65" t="s">
        <v>20</v>
      </c>
      <c r="E65" t="s">
        <v>18</v>
      </c>
      <c r="F65">
        <v>14838</v>
      </c>
      <c r="G65">
        <v>2</v>
      </c>
      <c r="H65">
        <v>3</v>
      </c>
      <c r="I65" t="str">
        <f>_xlfn.XLOOKUP(Table1[[#This Row],[Product]],[1]product_Table!$A$2:$A$8,[1]product_Table!$B$2:$B$8)</f>
        <v>Gadgets</v>
      </c>
    </row>
    <row r="66" spans="1:9" x14ac:dyDescent="0.35">
      <c r="A66">
        <v>166</v>
      </c>
      <c r="B66" s="1">
        <v>45802</v>
      </c>
      <c r="C66" t="s">
        <v>13</v>
      </c>
      <c r="D66" t="s">
        <v>9</v>
      </c>
      <c r="E66" t="s">
        <v>18</v>
      </c>
      <c r="F66">
        <v>14547</v>
      </c>
      <c r="G66">
        <v>2</v>
      </c>
      <c r="H66">
        <v>4.5999999999999996</v>
      </c>
      <c r="I66" t="str">
        <f>_xlfn.XLOOKUP(Table1[[#This Row],[Product]],[1]product_Table!$A$2:$A$8,[1]product_Table!$B$2:$B$8)</f>
        <v>Gadgets</v>
      </c>
    </row>
    <row r="67" spans="1:9" x14ac:dyDescent="0.35">
      <c r="A67">
        <v>154</v>
      </c>
      <c r="B67" s="1">
        <v>45718</v>
      </c>
      <c r="C67" t="s">
        <v>13</v>
      </c>
      <c r="D67" t="s">
        <v>20</v>
      </c>
      <c r="E67" t="s">
        <v>22</v>
      </c>
      <c r="F67">
        <v>12982</v>
      </c>
      <c r="G67">
        <v>1</v>
      </c>
      <c r="H67">
        <v>3.2</v>
      </c>
      <c r="I67" t="str">
        <f>_xlfn.XLOOKUP(Table1[[#This Row],[Product]],[1]product_Table!$A$2:$A$8,[1]product_Table!$B$2:$B$8)</f>
        <v>Accessories</v>
      </c>
    </row>
    <row r="68" spans="1:9" x14ac:dyDescent="0.35">
      <c r="A68">
        <v>165</v>
      </c>
      <c r="B68" s="1">
        <v>45757</v>
      </c>
      <c r="C68" t="s">
        <v>8</v>
      </c>
      <c r="D68" t="s">
        <v>26</v>
      </c>
      <c r="E68" t="s">
        <v>22</v>
      </c>
      <c r="F68">
        <v>12961</v>
      </c>
      <c r="G68">
        <v>3</v>
      </c>
      <c r="H68">
        <v>3.5</v>
      </c>
      <c r="I68" t="str">
        <f>_xlfn.XLOOKUP(Table1[[#This Row],[Product]],[1]product_Table!$A$2:$A$8,[1]product_Table!$B$2:$B$8)</f>
        <v>Accessories</v>
      </c>
    </row>
    <row r="69" spans="1:9" x14ac:dyDescent="0.35">
      <c r="A69">
        <v>108</v>
      </c>
      <c r="B69" s="1">
        <v>45735</v>
      </c>
      <c r="C69" t="s">
        <v>13</v>
      </c>
      <c r="D69" t="s">
        <v>9</v>
      </c>
      <c r="E69" t="s">
        <v>22</v>
      </c>
      <c r="F69">
        <v>12906</v>
      </c>
      <c r="G69">
        <v>3</v>
      </c>
      <c r="H69">
        <v>4.0999999999999996</v>
      </c>
      <c r="I69" t="str">
        <f>_xlfn.XLOOKUP(Table1[[#This Row],[Product]],[1]product_Table!$A$2:$A$8,[1]product_Table!$B$2:$B$8)</f>
        <v>Accessories</v>
      </c>
    </row>
    <row r="70" spans="1:9" x14ac:dyDescent="0.35">
      <c r="A70">
        <v>130</v>
      </c>
      <c r="B70" s="1">
        <v>45716</v>
      </c>
      <c r="C70" t="s">
        <v>29</v>
      </c>
      <c r="D70" t="s">
        <v>17</v>
      </c>
      <c r="E70" t="s">
        <v>22</v>
      </c>
      <c r="F70">
        <v>12881</v>
      </c>
      <c r="G70">
        <v>3</v>
      </c>
      <c r="H70">
        <v>4.2</v>
      </c>
      <c r="I70" t="str">
        <f>_xlfn.XLOOKUP(Table1[[#This Row],[Product]],[1]product_Table!$A$2:$A$8,[1]product_Table!$B$2:$B$8)</f>
        <v>Accessories</v>
      </c>
    </row>
    <row r="71" spans="1:9" x14ac:dyDescent="0.35">
      <c r="A71">
        <v>115</v>
      </c>
      <c r="B71" s="1">
        <v>45744</v>
      </c>
      <c r="C71" t="s">
        <v>8</v>
      </c>
      <c r="D71" t="s">
        <v>26</v>
      </c>
      <c r="E71" t="s">
        <v>22</v>
      </c>
      <c r="F71">
        <v>12860</v>
      </c>
      <c r="G71">
        <v>3</v>
      </c>
      <c r="H71">
        <v>4.2</v>
      </c>
      <c r="I71" t="str">
        <f>_xlfn.XLOOKUP(Table1[[#This Row],[Product]],[1]product_Table!$A$2:$A$8,[1]product_Table!$B$2:$B$8)</f>
        <v>Accessories</v>
      </c>
    </row>
    <row r="72" spans="1:9" x14ac:dyDescent="0.35">
      <c r="A72">
        <v>171</v>
      </c>
      <c r="B72" s="1">
        <v>45805</v>
      </c>
      <c r="C72" t="s">
        <v>19</v>
      </c>
      <c r="D72" t="s">
        <v>17</v>
      </c>
      <c r="E72" t="s">
        <v>22</v>
      </c>
      <c r="F72">
        <v>12829</v>
      </c>
      <c r="G72">
        <v>2</v>
      </c>
      <c r="H72">
        <v>3.6</v>
      </c>
      <c r="I72" t="str">
        <f>_xlfn.XLOOKUP(Table1[[#This Row],[Product]],[1]product_Table!$A$2:$A$8,[1]product_Table!$B$2:$B$8)</f>
        <v>Accessories</v>
      </c>
    </row>
    <row r="73" spans="1:9" x14ac:dyDescent="0.35">
      <c r="A73">
        <v>131</v>
      </c>
      <c r="B73" s="1">
        <v>45762</v>
      </c>
      <c r="C73" t="s">
        <v>21</v>
      </c>
      <c r="D73" t="s">
        <v>14</v>
      </c>
      <c r="E73" t="s">
        <v>22</v>
      </c>
      <c r="F73">
        <v>12789</v>
      </c>
      <c r="G73">
        <v>2</v>
      </c>
      <c r="H73">
        <v>3.6</v>
      </c>
      <c r="I73" t="str">
        <f>_xlfn.XLOOKUP(Table1[[#This Row],[Product]],[1]product_Table!$A$2:$A$8,[1]product_Table!$B$2:$B$8)</f>
        <v>Accessories</v>
      </c>
    </row>
    <row r="74" spans="1:9" x14ac:dyDescent="0.35">
      <c r="A74">
        <v>120</v>
      </c>
      <c r="B74" s="1">
        <v>45796</v>
      </c>
      <c r="C74" t="s">
        <v>11</v>
      </c>
      <c r="D74" t="s">
        <v>14</v>
      </c>
      <c r="E74" t="s">
        <v>22</v>
      </c>
      <c r="F74">
        <v>12729</v>
      </c>
      <c r="G74">
        <v>2</v>
      </c>
      <c r="H74">
        <v>3.8</v>
      </c>
      <c r="I74" t="str">
        <f>_xlfn.XLOOKUP(Table1[[#This Row],[Product]],[1]product_Table!$A$2:$A$8,[1]product_Table!$B$2:$B$8)</f>
        <v>Accessories</v>
      </c>
    </row>
    <row r="75" spans="1:9" x14ac:dyDescent="0.35">
      <c r="A75">
        <v>184</v>
      </c>
      <c r="B75" s="1">
        <v>45684</v>
      </c>
      <c r="C75" t="s">
        <v>16</v>
      </c>
      <c r="D75" t="s">
        <v>20</v>
      </c>
      <c r="E75" t="s">
        <v>22</v>
      </c>
      <c r="F75">
        <v>12666</v>
      </c>
      <c r="G75">
        <v>1</v>
      </c>
      <c r="H75">
        <v>3.5</v>
      </c>
      <c r="I75" t="str">
        <f>_xlfn.XLOOKUP(Table1[[#This Row],[Product]],[1]product_Table!$A$2:$A$8,[1]product_Table!$B$2:$B$8)</f>
        <v>Accessories</v>
      </c>
    </row>
    <row r="76" spans="1:9" x14ac:dyDescent="0.35">
      <c r="A76">
        <v>190</v>
      </c>
      <c r="B76" s="1">
        <v>45753</v>
      </c>
      <c r="C76" t="s">
        <v>13</v>
      </c>
      <c r="D76" t="s">
        <v>28</v>
      </c>
      <c r="E76" t="s">
        <v>22</v>
      </c>
      <c r="F76">
        <v>12604</v>
      </c>
      <c r="G76">
        <v>3</v>
      </c>
      <c r="H76">
        <v>3.8</v>
      </c>
      <c r="I76" t="str">
        <f>_xlfn.XLOOKUP(Table1[[#This Row],[Product]],[1]product_Table!$A$2:$A$8,[1]product_Table!$B$2:$B$8)</f>
        <v>Accessories</v>
      </c>
    </row>
    <row r="77" spans="1:9" x14ac:dyDescent="0.35">
      <c r="A77">
        <v>198</v>
      </c>
      <c r="B77" s="1">
        <v>45662</v>
      </c>
      <c r="C77" t="s">
        <v>30</v>
      </c>
      <c r="D77" t="s">
        <v>14</v>
      </c>
      <c r="E77" t="s">
        <v>22</v>
      </c>
      <c r="F77">
        <v>12499</v>
      </c>
      <c r="G77">
        <v>1</v>
      </c>
      <c r="H77">
        <v>4.8</v>
      </c>
      <c r="I77" t="str">
        <f>_xlfn.XLOOKUP(Table1[[#This Row],[Product]],[1]product_Table!$A$2:$A$8,[1]product_Table!$B$2:$B$8)</f>
        <v>Accessories</v>
      </c>
    </row>
    <row r="78" spans="1:9" x14ac:dyDescent="0.35">
      <c r="A78">
        <v>188</v>
      </c>
      <c r="B78" s="1">
        <v>45773</v>
      </c>
      <c r="C78" t="s">
        <v>21</v>
      </c>
      <c r="D78" t="s">
        <v>17</v>
      </c>
      <c r="E78" t="s">
        <v>22</v>
      </c>
      <c r="F78">
        <v>12476</v>
      </c>
      <c r="G78">
        <v>3</v>
      </c>
      <c r="H78">
        <v>4.5</v>
      </c>
      <c r="I78" t="str">
        <f>_xlfn.XLOOKUP(Table1[[#This Row],[Product]],[1]product_Table!$A$2:$A$8,[1]product_Table!$B$2:$B$8)</f>
        <v>Accessories</v>
      </c>
    </row>
    <row r="79" spans="1:9" x14ac:dyDescent="0.35">
      <c r="A79">
        <v>192</v>
      </c>
      <c r="B79" s="1">
        <v>45666</v>
      </c>
      <c r="C79" t="s">
        <v>27</v>
      </c>
      <c r="D79" t="s">
        <v>20</v>
      </c>
      <c r="E79" t="s">
        <v>22</v>
      </c>
      <c r="F79">
        <v>12410</v>
      </c>
      <c r="G79">
        <v>3</v>
      </c>
      <c r="H79">
        <v>3.3</v>
      </c>
      <c r="I79" t="str">
        <f>_xlfn.XLOOKUP(Table1[[#This Row],[Product]],[1]product_Table!$A$2:$A$8,[1]product_Table!$B$2:$B$8)</f>
        <v>Accessories</v>
      </c>
    </row>
    <row r="80" spans="1:9" x14ac:dyDescent="0.35">
      <c r="A80">
        <v>161</v>
      </c>
      <c r="B80" s="1">
        <v>45691</v>
      </c>
      <c r="C80" t="s">
        <v>11</v>
      </c>
      <c r="D80" t="s">
        <v>28</v>
      </c>
      <c r="E80" t="s">
        <v>22</v>
      </c>
      <c r="F80">
        <v>12384</v>
      </c>
      <c r="G80">
        <v>2</v>
      </c>
      <c r="H80">
        <v>4.9000000000000004</v>
      </c>
      <c r="I80" t="str">
        <f>_xlfn.XLOOKUP(Table1[[#This Row],[Product]],[1]product_Table!$A$2:$A$8,[1]product_Table!$B$2:$B$8)</f>
        <v>Accessories</v>
      </c>
    </row>
    <row r="81" spans="1:9" x14ac:dyDescent="0.35">
      <c r="A81">
        <v>140</v>
      </c>
      <c r="B81" s="1">
        <v>45685</v>
      </c>
      <c r="C81" t="s">
        <v>11</v>
      </c>
      <c r="D81" t="s">
        <v>25</v>
      </c>
      <c r="E81" t="s">
        <v>22</v>
      </c>
      <c r="F81">
        <v>12345</v>
      </c>
      <c r="G81">
        <v>2</v>
      </c>
      <c r="H81">
        <v>4.4000000000000004</v>
      </c>
      <c r="I81" t="str">
        <f>_xlfn.XLOOKUP(Table1[[#This Row],[Product]],[1]product_Table!$A$2:$A$8,[1]product_Table!$B$2:$B$8)</f>
        <v>Accessories</v>
      </c>
    </row>
    <row r="82" spans="1:9" x14ac:dyDescent="0.35">
      <c r="A82">
        <v>117</v>
      </c>
      <c r="B82" s="1">
        <v>45802</v>
      </c>
      <c r="C82" t="s">
        <v>27</v>
      </c>
      <c r="D82" t="s">
        <v>28</v>
      </c>
      <c r="E82" t="s">
        <v>22</v>
      </c>
      <c r="F82">
        <v>12318</v>
      </c>
      <c r="G82">
        <v>2</v>
      </c>
      <c r="H82">
        <v>3.2</v>
      </c>
      <c r="I82" t="str">
        <f>_xlfn.XLOOKUP(Table1[[#This Row],[Product]],[1]product_Table!$A$2:$A$8,[1]product_Table!$B$2:$B$8)</f>
        <v>Accessories</v>
      </c>
    </row>
    <row r="83" spans="1:9" x14ac:dyDescent="0.35">
      <c r="A83">
        <v>178</v>
      </c>
      <c r="B83" s="1">
        <v>45786</v>
      </c>
      <c r="C83" t="s">
        <v>11</v>
      </c>
      <c r="D83" t="s">
        <v>14</v>
      </c>
      <c r="E83" t="s">
        <v>22</v>
      </c>
      <c r="F83">
        <v>12208</v>
      </c>
      <c r="G83">
        <v>1</v>
      </c>
      <c r="H83">
        <v>3.4</v>
      </c>
      <c r="I83" t="str">
        <f>_xlfn.XLOOKUP(Table1[[#This Row],[Product]],[1]product_Table!$A$2:$A$8,[1]product_Table!$B$2:$B$8)</f>
        <v>Accessories</v>
      </c>
    </row>
    <row r="84" spans="1:9" x14ac:dyDescent="0.35">
      <c r="A84">
        <v>138</v>
      </c>
      <c r="B84" s="1">
        <v>45721</v>
      </c>
      <c r="C84" t="s">
        <v>16</v>
      </c>
      <c r="D84" t="s">
        <v>14</v>
      </c>
      <c r="E84" t="s">
        <v>22</v>
      </c>
      <c r="F84">
        <v>12099</v>
      </c>
      <c r="G84">
        <v>3</v>
      </c>
      <c r="H84">
        <v>3.1</v>
      </c>
      <c r="I84" t="str">
        <f>_xlfn.XLOOKUP(Table1[[#This Row],[Product]],[1]product_Table!$A$2:$A$8,[1]product_Table!$B$2:$B$8)</f>
        <v>Accessories</v>
      </c>
    </row>
    <row r="85" spans="1:9" x14ac:dyDescent="0.35">
      <c r="A85">
        <v>105</v>
      </c>
      <c r="B85" s="1">
        <v>45699</v>
      </c>
      <c r="C85" t="s">
        <v>21</v>
      </c>
      <c r="D85" t="s">
        <v>9</v>
      </c>
      <c r="E85" t="s">
        <v>22</v>
      </c>
      <c r="F85">
        <v>12065</v>
      </c>
      <c r="G85">
        <v>2</v>
      </c>
      <c r="H85">
        <v>4.2</v>
      </c>
      <c r="I85" t="str">
        <f>_xlfn.XLOOKUP(Table1[[#This Row],[Product]],[1]product_Table!$A$2:$A$8,[1]product_Table!$B$2:$B$8)</f>
        <v>Accessories</v>
      </c>
    </row>
    <row r="86" spans="1:9" x14ac:dyDescent="0.35">
      <c r="A86">
        <v>183</v>
      </c>
      <c r="B86" s="1">
        <v>45724</v>
      </c>
      <c r="C86" t="s">
        <v>23</v>
      </c>
      <c r="D86" t="s">
        <v>24</v>
      </c>
      <c r="E86" t="s">
        <v>22</v>
      </c>
      <c r="F86">
        <v>12007</v>
      </c>
      <c r="G86">
        <v>3</v>
      </c>
      <c r="H86">
        <v>3.4</v>
      </c>
      <c r="I86" t="str">
        <f>_xlfn.XLOOKUP(Table1[[#This Row],[Product]],[1]product_Table!$A$2:$A$8,[1]product_Table!$B$2:$B$8)</f>
        <v>Accessories</v>
      </c>
    </row>
    <row r="87" spans="1:9" x14ac:dyDescent="0.35">
      <c r="A87">
        <v>110</v>
      </c>
      <c r="B87" s="1">
        <v>45719</v>
      </c>
      <c r="C87" t="s">
        <v>21</v>
      </c>
      <c r="D87" t="s">
        <v>25</v>
      </c>
      <c r="E87" t="s">
        <v>22</v>
      </c>
      <c r="F87">
        <v>11811</v>
      </c>
      <c r="G87">
        <v>1</v>
      </c>
      <c r="H87">
        <v>4.5</v>
      </c>
      <c r="I87" t="str">
        <f>_xlfn.XLOOKUP(Table1[[#This Row],[Product]],[1]product_Table!$A$2:$A$8,[1]product_Table!$B$2:$B$8)</f>
        <v>Accessories</v>
      </c>
    </row>
    <row r="88" spans="1:9" x14ac:dyDescent="0.35">
      <c r="A88">
        <v>125</v>
      </c>
      <c r="B88" s="1">
        <v>45762</v>
      </c>
      <c r="C88" t="s">
        <v>27</v>
      </c>
      <c r="D88" t="s">
        <v>26</v>
      </c>
      <c r="E88" t="s">
        <v>22</v>
      </c>
      <c r="F88">
        <v>11702</v>
      </c>
      <c r="G88">
        <v>3</v>
      </c>
      <c r="H88">
        <v>3.9</v>
      </c>
      <c r="I88" t="str">
        <f>_xlfn.XLOOKUP(Table1[[#This Row],[Product]],[1]product_Table!$A$2:$A$8,[1]product_Table!$B$2:$B$8)</f>
        <v>Accessories</v>
      </c>
    </row>
    <row r="89" spans="1:9" x14ac:dyDescent="0.35">
      <c r="A89">
        <v>149</v>
      </c>
      <c r="B89" s="1">
        <v>45768</v>
      </c>
      <c r="C89" t="s">
        <v>27</v>
      </c>
      <c r="D89" t="s">
        <v>28</v>
      </c>
      <c r="E89" t="s">
        <v>15</v>
      </c>
      <c r="F89">
        <v>2976</v>
      </c>
      <c r="G89">
        <v>1</v>
      </c>
      <c r="H89">
        <v>4.0999999999999996</v>
      </c>
      <c r="I89" t="str">
        <f>_xlfn.XLOOKUP(Table1[[#This Row],[Product]],[1]product_Table!$A$2:$A$8,[1]product_Table!$B$2:$B$8)</f>
        <v>Accessories</v>
      </c>
    </row>
    <row r="90" spans="1:9" x14ac:dyDescent="0.35">
      <c r="A90">
        <v>107</v>
      </c>
      <c r="B90" s="1">
        <v>45736</v>
      </c>
      <c r="C90" t="s">
        <v>19</v>
      </c>
      <c r="D90" t="s">
        <v>9</v>
      </c>
      <c r="E90" t="s">
        <v>15</v>
      </c>
      <c r="F90">
        <v>2866</v>
      </c>
      <c r="G90">
        <v>1</v>
      </c>
      <c r="H90">
        <v>3.7</v>
      </c>
      <c r="I90" t="str">
        <f>_xlfn.XLOOKUP(Table1[[#This Row],[Product]],[1]product_Table!$A$2:$A$8,[1]product_Table!$B$2:$B$8)</f>
        <v>Accessories</v>
      </c>
    </row>
    <row r="91" spans="1:9" x14ac:dyDescent="0.35">
      <c r="A91">
        <v>155</v>
      </c>
      <c r="B91" s="1">
        <v>45706</v>
      </c>
      <c r="C91" t="s">
        <v>29</v>
      </c>
      <c r="D91" t="s">
        <v>24</v>
      </c>
      <c r="E91" t="s">
        <v>15</v>
      </c>
      <c r="F91">
        <v>2756</v>
      </c>
      <c r="G91">
        <v>2</v>
      </c>
      <c r="H91">
        <v>4.7</v>
      </c>
      <c r="I91" t="str">
        <f>_xlfn.XLOOKUP(Table1[[#This Row],[Product]],[1]product_Table!$A$2:$A$8,[1]product_Table!$B$2:$B$8)</f>
        <v>Accessories</v>
      </c>
    </row>
    <row r="92" spans="1:9" x14ac:dyDescent="0.35">
      <c r="A92">
        <v>127</v>
      </c>
      <c r="B92" s="1">
        <v>45715</v>
      </c>
      <c r="C92" t="s">
        <v>8</v>
      </c>
      <c r="D92" t="s">
        <v>9</v>
      </c>
      <c r="E92" t="s">
        <v>15</v>
      </c>
      <c r="F92">
        <v>2612</v>
      </c>
      <c r="G92">
        <v>2</v>
      </c>
      <c r="H92">
        <v>3</v>
      </c>
      <c r="I92" t="str">
        <f>_xlfn.XLOOKUP(Table1[[#This Row],[Product]],[1]product_Table!$A$2:$A$8,[1]product_Table!$B$2:$B$8)</f>
        <v>Accessories</v>
      </c>
    </row>
    <row r="93" spans="1:9" x14ac:dyDescent="0.35">
      <c r="A93">
        <v>163</v>
      </c>
      <c r="B93" s="1">
        <v>45665</v>
      </c>
      <c r="C93" t="s">
        <v>30</v>
      </c>
      <c r="D93" t="s">
        <v>20</v>
      </c>
      <c r="E93" t="s">
        <v>15</v>
      </c>
      <c r="F93">
        <v>2560</v>
      </c>
      <c r="G93">
        <v>1</v>
      </c>
      <c r="H93">
        <v>3.3</v>
      </c>
      <c r="I93" t="str">
        <f>_xlfn.XLOOKUP(Table1[[#This Row],[Product]],[1]product_Table!$A$2:$A$8,[1]product_Table!$B$2:$B$8)</f>
        <v>Accessories</v>
      </c>
    </row>
    <row r="94" spans="1:9" x14ac:dyDescent="0.35">
      <c r="A94">
        <v>197</v>
      </c>
      <c r="B94" s="1">
        <v>45744</v>
      </c>
      <c r="C94" t="s">
        <v>16</v>
      </c>
      <c r="D94" t="s">
        <v>28</v>
      </c>
      <c r="E94" t="s">
        <v>15</v>
      </c>
      <c r="F94">
        <v>2454</v>
      </c>
      <c r="G94">
        <v>1</v>
      </c>
      <c r="H94">
        <v>3.2</v>
      </c>
      <c r="I94" t="str">
        <f>_xlfn.XLOOKUP(Table1[[#This Row],[Product]],[1]product_Table!$A$2:$A$8,[1]product_Table!$B$2:$B$8)</f>
        <v>Accessories</v>
      </c>
    </row>
    <row r="95" spans="1:9" x14ac:dyDescent="0.35">
      <c r="A95">
        <v>119</v>
      </c>
      <c r="B95" s="1">
        <v>45783</v>
      </c>
      <c r="C95" t="s">
        <v>27</v>
      </c>
      <c r="D95" t="s">
        <v>9</v>
      </c>
      <c r="E95" t="s">
        <v>15</v>
      </c>
      <c r="F95">
        <v>2250</v>
      </c>
      <c r="G95">
        <v>2</v>
      </c>
      <c r="H95">
        <v>4</v>
      </c>
      <c r="I95" t="str">
        <f>_xlfn.XLOOKUP(Table1[[#This Row],[Product]],[1]product_Table!$A$2:$A$8,[1]product_Table!$B$2:$B$8)</f>
        <v>Accessories</v>
      </c>
    </row>
    <row r="96" spans="1:9" x14ac:dyDescent="0.35">
      <c r="A96">
        <v>181</v>
      </c>
      <c r="B96" s="1">
        <v>45707</v>
      </c>
      <c r="C96" t="s">
        <v>29</v>
      </c>
      <c r="D96" t="s">
        <v>24</v>
      </c>
      <c r="E96" t="s">
        <v>15</v>
      </c>
      <c r="F96">
        <v>2093</v>
      </c>
      <c r="G96">
        <v>3</v>
      </c>
      <c r="H96">
        <v>4.5</v>
      </c>
      <c r="I96" t="str">
        <f>_xlfn.XLOOKUP(Table1[[#This Row],[Product]],[1]product_Table!$A$2:$A$8,[1]product_Table!$B$2:$B$8)</f>
        <v>Accessories</v>
      </c>
    </row>
    <row r="97" spans="1:9" x14ac:dyDescent="0.35">
      <c r="A97">
        <v>102</v>
      </c>
      <c r="B97" s="1">
        <v>45688</v>
      </c>
      <c r="C97" t="s">
        <v>13</v>
      </c>
      <c r="D97" t="s">
        <v>14</v>
      </c>
      <c r="E97" t="s">
        <v>15</v>
      </c>
      <c r="F97">
        <v>1989</v>
      </c>
      <c r="G97">
        <v>3</v>
      </c>
      <c r="H97">
        <v>4.2</v>
      </c>
      <c r="I97" t="str">
        <f>_xlfn.XLOOKUP(Table1[[#This Row],[Product]],[1]product_Table!$A$2:$A$8,[1]product_Table!$B$2:$B$8)</f>
        <v>Accessories</v>
      </c>
    </row>
    <row r="98" spans="1:9" x14ac:dyDescent="0.35">
      <c r="A98">
        <v>182</v>
      </c>
      <c r="B98" s="1">
        <v>45674</v>
      </c>
      <c r="C98" t="s">
        <v>11</v>
      </c>
      <c r="D98" t="s">
        <v>20</v>
      </c>
      <c r="E98" t="s">
        <v>15</v>
      </c>
      <c r="F98">
        <v>1841</v>
      </c>
      <c r="G98">
        <v>2</v>
      </c>
      <c r="H98">
        <v>4.2</v>
      </c>
      <c r="I98" t="str">
        <f>_xlfn.XLOOKUP(Table1[[#This Row],[Product]],[1]product_Table!$A$2:$A$8,[1]product_Table!$B$2:$B$8)</f>
        <v>Accessories</v>
      </c>
    </row>
    <row r="99" spans="1:9" x14ac:dyDescent="0.35">
      <c r="A99">
        <v>159</v>
      </c>
      <c r="B99" s="1">
        <v>45678</v>
      </c>
      <c r="C99" t="s">
        <v>8</v>
      </c>
      <c r="D99" t="s">
        <v>14</v>
      </c>
      <c r="E99" t="s">
        <v>15</v>
      </c>
      <c r="F99">
        <v>1823</v>
      </c>
      <c r="G99">
        <v>2</v>
      </c>
      <c r="H99">
        <v>3.2</v>
      </c>
      <c r="I99" t="str">
        <f>_xlfn.XLOOKUP(Table1[[#This Row],[Product]],[1]product_Table!$A$2:$A$8,[1]product_Table!$B$2:$B$8)</f>
        <v>Accessories</v>
      </c>
    </row>
    <row r="100" spans="1:9" x14ac:dyDescent="0.35">
      <c r="A100">
        <v>199</v>
      </c>
      <c r="B100" s="1">
        <v>45702</v>
      </c>
      <c r="C100" t="s">
        <v>8</v>
      </c>
      <c r="D100" t="s">
        <v>9</v>
      </c>
      <c r="E100" t="s">
        <v>15</v>
      </c>
      <c r="F100">
        <v>1715</v>
      </c>
      <c r="G100">
        <v>1</v>
      </c>
      <c r="H100">
        <v>3</v>
      </c>
      <c r="I100" t="str">
        <f>_xlfn.XLOOKUP(Table1[[#This Row],[Product]],[1]product_Table!$A$2:$A$8,[1]product_Table!$B$2:$B$8)</f>
        <v>Accessories</v>
      </c>
    </row>
    <row r="101" spans="1:9" x14ac:dyDescent="0.35">
      <c r="A101">
        <v>189</v>
      </c>
      <c r="B101" s="1">
        <v>45729</v>
      </c>
      <c r="C101" t="s">
        <v>16</v>
      </c>
      <c r="D101" t="s">
        <v>24</v>
      </c>
      <c r="E101" t="s">
        <v>15</v>
      </c>
      <c r="F101">
        <v>1532</v>
      </c>
      <c r="G101">
        <v>3</v>
      </c>
      <c r="H101">
        <v>3.9</v>
      </c>
      <c r="I101" t="str">
        <f>_xlfn.XLOOKUP(Table1[[#This Row],[Product]],[1]product_Table!$A$2:$A$8,[1]product_Table!$B$2:$B$8)</f>
        <v>Accessories</v>
      </c>
    </row>
    <row r="102" spans="1:9" x14ac:dyDescent="0.35">
      <c r="F102">
        <f>SUBTOTAL(101,Table1[Sales])</f>
        <v>24289.68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9214-3C83-44DC-8D5A-9260008F2E6D}">
  <dimension ref="E5"/>
  <sheetViews>
    <sheetView zoomScale="86" workbookViewId="0"/>
  </sheetViews>
  <sheetFormatPr defaultRowHeight="14.5" x14ac:dyDescent="0.35"/>
  <sheetData>
    <row r="5" spans="5:5" x14ac:dyDescent="0.35">
      <c r="E5" s="4">
        <v>2428968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sales_dashboard2</vt:lpstr>
      <vt:lpstr>pivot tables</vt:lpstr>
      <vt:lpstr>Sales_Dashboard.xlsx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Manikanta</dc:creator>
  <cp:lastModifiedBy>Kota Manikanta</cp:lastModifiedBy>
  <dcterms:created xsi:type="dcterms:W3CDTF">2026-07-28T17:26:41Z</dcterms:created>
  <dcterms:modified xsi:type="dcterms:W3CDTF">2026-08-04T13:13:02Z</dcterms:modified>
</cp:coreProperties>
</file>